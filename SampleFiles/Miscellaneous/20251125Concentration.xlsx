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0.xml" ContentType="application/vnd.openxmlformats-officedocument.drawing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1.xml" ContentType="application/vnd.openxmlformats-officedocument.drawing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Git\DicomRoiAnalyzer\SampleFiles\"/>
    </mc:Choice>
  </mc:AlternateContent>
  <xr:revisionPtr revIDLastSave="0" documentId="13_ncr:1_{D51D1B16-49EE-4DE9-B717-458301BABDA5}" xr6:coauthVersionLast="47" xr6:coauthVersionMax="47" xr10:uidLastSave="{00000000-0000-0000-0000-000000000000}"/>
  <bookViews>
    <workbookView xWindow="-93" yWindow="-93" windowWidth="19386" windowHeight="11466" firstSheet="8" activeTab="8" xr2:uid="{43B9CD81-B56F-4C02-AD58-ADCE335D28E7}"/>
  </bookViews>
  <sheets>
    <sheet name="High" sheetId="1" r:id="rId1"/>
    <sheet name="Med" sheetId="2" r:id="rId2"/>
    <sheet name="Low" sheetId="3" r:id="rId3"/>
    <sheet name="CEUS2" sheetId="9" r:id="rId4"/>
    <sheet name="Summary" sheetId="4" r:id="rId5"/>
    <sheet name="CEUS" sheetId="5" r:id="rId6"/>
    <sheet name="High (2)" sheetId="10" r:id="rId7"/>
    <sheet name="Lookup Tables" sheetId="21" r:id="rId8"/>
    <sheet name="20251208_4e3" sheetId="20" r:id="rId9"/>
    <sheet name="Low 2" sheetId="13" r:id="rId10"/>
    <sheet name="Summary (2)" sheetId="14" r:id="rId11"/>
    <sheet name="High Combined" sheetId="16" r:id="rId12"/>
    <sheet name="Med 2" sheetId="12" r:id="rId13"/>
    <sheet name="Medium Combined" sheetId="17" r:id="rId14"/>
    <sheet name="Low Combined" sheetId="19" r:id="rId15"/>
  </sheet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0" l="1" a="1"/>
  <c r="G3" i="20"/>
  <c r="G4" i="20" a="1"/>
  <c r="G4" i="20" s="1"/>
  <c r="G5" i="20" a="1"/>
  <c r="G5" i="20"/>
  <c r="G6" i="20" a="1"/>
  <c r="G6" i="20"/>
  <c r="G7" i="20" a="1"/>
  <c r="G7" i="20"/>
  <c r="G8" i="20" a="1"/>
  <c r="G8" i="20"/>
  <c r="G9" i="20" a="1"/>
  <c r="G9" i="20"/>
  <c r="G10" i="20" a="1"/>
  <c r="G10" i="20" s="1"/>
  <c r="G11" i="20" a="1"/>
  <c r="G11" i="20"/>
  <c r="G12" i="20" a="1"/>
  <c r="G12" i="20"/>
  <c r="G13" i="20" a="1"/>
  <c r="G13" i="20"/>
  <c r="G14" i="20" a="1"/>
  <c r="G14" i="20"/>
  <c r="G15" i="20" a="1"/>
  <c r="G15" i="20"/>
  <c r="G16" i="20" a="1"/>
  <c r="G16" i="20" s="1"/>
  <c r="G17" i="20" a="1"/>
  <c r="G17" i="20"/>
  <c r="G18" i="20" a="1"/>
  <c r="G18" i="20"/>
  <c r="G19" i="20" a="1"/>
  <c r="G19" i="20"/>
  <c r="G20" i="20" a="1"/>
  <c r="G20" i="20"/>
  <c r="G21" i="20" a="1"/>
  <c r="G21" i="20"/>
  <c r="G2" i="20" a="1"/>
  <c r="G2" i="20" s="1"/>
  <c r="C13" i="21"/>
  <c r="C12" i="21"/>
  <c r="C11" i="21"/>
  <c r="C10" i="21"/>
  <c r="C9" i="21"/>
  <c r="C8" i="21"/>
  <c r="C7" i="21"/>
  <c r="C6" i="21"/>
  <c r="C5" i="21"/>
  <c r="C4" i="21"/>
  <c r="C3" i="21"/>
  <c r="C2" i="21"/>
  <c r="B22" i="20" l="1"/>
  <c r="E22" i="20"/>
  <c r="J22" i="20"/>
  <c r="K22" i="20" s="1"/>
  <c r="L22" i="20"/>
  <c r="L2" i="20"/>
  <c r="L3" i="20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J2" i="20"/>
  <c r="K2" i="20" s="1"/>
  <c r="J3" i="20"/>
  <c r="K3" i="20" s="1"/>
  <c r="J4" i="20"/>
  <c r="K4" i="20" s="1"/>
  <c r="J5" i="20"/>
  <c r="K5" i="20" s="1"/>
  <c r="J6" i="20"/>
  <c r="K6" i="20" s="1"/>
  <c r="J7" i="20"/>
  <c r="K7" i="20" s="1"/>
  <c r="J8" i="20"/>
  <c r="K8" i="20" s="1"/>
  <c r="J9" i="20"/>
  <c r="K9" i="20" s="1"/>
  <c r="J10" i="20"/>
  <c r="K10" i="20" s="1"/>
  <c r="J11" i="20"/>
  <c r="K11" i="20" s="1"/>
  <c r="J12" i="20"/>
  <c r="K12" i="20" s="1"/>
  <c r="J13" i="20"/>
  <c r="K13" i="20" s="1"/>
  <c r="J14" i="20"/>
  <c r="K14" i="20" s="1"/>
  <c r="J15" i="20"/>
  <c r="K15" i="20" s="1"/>
  <c r="J16" i="20"/>
  <c r="K16" i="20" s="1"/>
  <c r="J17" i="20"/>
  <c r="K17" i="20" s="1"/>
  <c r="J18" i="20"/>
  <c r="K18" i="20" s="1"/>
  <c r="J19" i="20"/>
  <c r="K19" i="20" s="1"/>
  <c r="J20" i="20"/>
  <c r="K20" i="20" s="1"/>
  <c r="J21" i="20"/>
  <c r="K21" i="20" s="1"/>
  <c r="E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B2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P4" i="10"/>
  <c r="C74" i="13"/>
  <c r="D74" i="13"/>
  <c r="E74" i="13"/>
  <c r="F74" i="13"/>
  <c r="G74" i="13"/>
  <c r="H74" i="13"/>
  <c r="I74" i="13"/>
  <c r="J74" i="13"/>
  <c r="K74" i="13"/>
  <c r="L74" i="13"/>
  <c r="AC4" i="19"/>
  <c r="AD4" i="19"/>
  <c r="AE4" i="19"/>
  <c r="AF4" i="19"/>
  <c r="AG4" i="19"/>
  <c r="AH4" i="19"/>
  <c r="AI4" i="19"/>
  <c r="AJ4" i="19"/>
  <c r="AK4" i="19"/>
  <c r="AC5" i="19"/>
  <c r="AD5" i="19"/>
  <c r="AE5" i="19"/>
  <c r="AF5" i="19"/>
  <c r="AG5" i="19"/>
  <c r="AH5" i="19"/>
  <c r="AI5" i="19"/>
  <c r="AJ5" i="19"/>
  <c r="AK5" i="19"/>
  <c r="AC6" i="19"/>
  <c r="AD6" i="19"/>
  <c r="AE6" i="19"/>
  <c r="AF6" i="19"/>
  <c r="AG6" i="19"/>
  <c r="AH6" i="19"/>
  <c r="AI6" i="19"/>
  <c r="AJ6" i="19"/>
  <c r="AK6" i="19"/>
  <c r="AC7" i="19"/>
  <c r="AD7" i="19"/>
  <c r="AE7" i="19"/>
  <c r="AF7" i="19"/>
  <c r="AG7" i="19"/>
  <c r="AH7" i="19"/>
  <c r="AI7" i="19"/>
  <c r="AJ7" i="19"/>
  <c r="AK7" i="19"/>
  <c r="AC8" i="19"/>
  <c r="AD8" i="19"/>
  <c r="AE8" i="19"/>
  <c r="AF8" i="19"/>
  <c r="AG8" i="19"/>
  <c r="AH8" i="19"/>
  <c r="AI8" i="19"/>
  <c r="AJ8" i="19"/>
  <c r="AK8" i="19"/>
  <c r="AB5" i="19"/>
  <c r="AB6" i="19"/>
  <c r="AB7" i="19"/>
  <c r="AB8" i="19"/>
  <c r="AB4" i="19"/>
  <c r="AC4" i="17"/>
  <c r="AD4" i="17"/>
  <c r="AE4" i="17"/>
  <c r="AF4" i="17"/>
  <c r="AG4" i="17"/>
  <c r="AH4" i="17"/>
  <c r="AI4" i="17"/>
  <c r="AJ4" i="17"/>
  <c r="AK4" i="17"/>
  <c r="AC5" i="17"/>
  <c r="AD5" i="17"/>
  <c r="AE5" i="17"/>
  <c r="AF5" i="17"/>
  <c r="AG5" i="17"/>
  <c r="AH5" i="17"/>
  <c r="AI5" i="17"/>
  <c r="AJ5" i="17"/>
  <c r="AK5" i="17"/>
  <c r="AC6" i="17"/>
  <c r="AD6" i="17"/>
  <c r="AE6" i="17"/>
  <c r="AF6" i="17"/>
  <c r="AG6" i="17"/>
  <c r="AH6" i="17"/>
  <c r="AI6" i="17"/>
  <c r="AJ6" i="17"/>
  <c r="AK6" i="17"/>
  <c r="AC7" i="17"/>
  <c r="AD7" i="17"/>
  <c r="AE7" i="17"/>
  <c r="AF7" i="17"/>
  <c r="AG7" i="17"/>
  <c r="AH7" i="17"/>
  <c r="AI7" i="17"/>
  <c r="AJ7" i="17"/>
  <c r="AK7" i="17"/>
  <c r="AC8" i="17"/>
  <c r="AD8" i="17"/>
  <c r="AE8" i="17"/>
  <c r="AF8" i="17"/>
  <c r="AG8" i="17"/>
  <c r="AH8" i="17"/>
  <c r="AI8" i="17"/>
  <c r="AJ8" i="17"/>
  <c r="AK8" i="17"/>
  <c r="AB5" i="17"/>
  <c r="AB6" i="17"/>
  <c r="AB7" i="17"/>
  <c r="AB8" i="17"/>
  <c r="AB4" i="17"/>
  <c r="AC11" i="17"/>
  <c r="AD11" i="17"/>
  <c r="AE11" i="17"/>
  <c r="AF11" i="17"/>
  <c r="AG11" i="17"/>
  <c r="AH11" i="17"/>
  <c r="AI11" i="17"/>
  <c r="AJ11" i="17"/>
  <c r="AK11" i="17"/>
  <c r="AC12" i="17"/>
  <c r="AD12" i="17"/>
  <c r="AE12" i="17"/>
  <c r="AF12" i="17"/>
  <c r="AG12" i="17"/>
  <c r="AH12" i="17"/>
  <c r="AI12" i="17"/>
  <c r="AJ12" i="17"/>
  <c r="AK12" i="17"/>
  <c r="AC13" i="17"/>
  <c r="AD13" i="17"/>
  <c r="AE13" i="17"/>
  <c r="AF13" i="17"/>
  <c r="AG13" i="17"/>
  <c r="AH13" i="17"/>
  <c r="AI13" i="17"/>
  <c r="AJ13" i="17"/>
  <c r="AK13" i="17"/>
  <c r="AC14" i="17"/>
  <c r="AD14" i="17"/>
  <c r="AE14" i="17"/>
  <c r="AF14" i="17"/>
  <c r="AG14" i="17"/>
  <c r="AH14" i="17"/>
  <c r="AI14" i="17"/>
  <c r="AJ14" i="17"/>
  <c r="AK14" i="17"/>
  <c r="AC15" i="17"/>
  <c r="AD15" i="17"/>
  <c r="AE15" i="17"/>
  <c r="AF15" i="17"/>
  <c r="AG15" i="17"/>
  <c r="AH15" i="17"/>
  <c r="AI15" i="17"/>
  <c r="AJ15" i="17"/>
  <c r="AK15" i="17"/>
  <c r="AB15" i="17"/>
  <c r="AB14" i="17"/>
  <c r="AB13" i="17"/>
  <c r="AB12" i="17"/>
  <c r="AB11" i="17"/>
  <c r="L107" i="19"/>
  <c r="AK15" i="19" s="1"/>
  <c r="K107" i="19"/>
  <c r="AJ15" i="19" s="1"/>
  <c r="J107" i="19"/>
  <c r="AI15" i="19" s="1"/>
  <c r="I107" i="19"/>
  <c r="AH15" i="19" s="1"/>
  <c r="H107" i="19"/>
  <c r="AG15" i="19" s="1"/>
  <c r="G107" i="19"/>
  <c r="AF15" i="19" s="1"/>
  <c r="F107" i="19"/>
  <c r="AE15" i="19" s="1"/>
  <c r="E107" i="19"/>
  <c r="AD15" i="19" s="1"/>
  <c r="D107" i="19"/>
  <c r="AC15" i="19" s="1"/>
  <c r="C107" i="19"/>
  <c r="AB15" i="19" s="1"/>
  <c r="L105" i="19"/>
  <c r="L106" i="19" s="1"/>
  <c r="Y8" i="19" s="1"/>
  <c r="K105" i="19"/>
  <c r="K106" i="19" s="1"/>
  <c r="X8" i="19" s="1"/>
  <c r="J105" i="19"/>
  <c r="J106" i="19" s="1"/>
  <c r="W8" i="19" s="1"/>
  <c r="I105" i="19"/>
  <c r="I106" i="19" s="1"/>
  <c r="V8" i="19" s="1"/>
  <c r="H105" i="19"/>
  <c r="H106" i="19" s="1"/>
  <c r="U8" i="19" s="1"/>
  <c r="G105" i="19"/>
  <c r="G106" i="19" s="1"/>
  <c r="T8" i="19" s="1"/>
  <c r="F105" i="19"/>
  <c r="F106" i="19" s="1"/>
  <c r="S8" i="19" s="1"/>
  <c r="E105" i="19"/>
  <c r="E106" i="19" s="1"/>
  <c r="R8" i="19" s="1"/>
  <c r="D105" i="19"/>
  <c r="D106" i="19" s="1"/>
  <c r="Q8" i="19" s="1"/>
  <c r="C105" i="19"/>
  <c r="C106" i="19" s="1"/>
  <c r="P8" i="19" s="1"/>
  <c r="L86" i="19"/>
  <c r="K86" i="19"/>
  <c r="J86" i="19"/>
  <c r="AI14" i="19" s="1"/>
  <c r="I86" i="19"/>
  <c r="AH14" i="19" s="1"/>
  <c r="H86" i="19"/>
  <c r="AG14" i="19" s="1"/>
  <c r="G86" i="19"/>
  <c r="AF14" i="19" s="1"/>
  <c r="F86" i="19"/>
  <c r="AE14" i="19" s="1"/>
  <c r="E86" i="19"/>
  <c r="AD14" i="19" s="1"/>
  <c r="D86" i="19"/>
  <c r="AC14" i="19" s="1"/>
  <c r="C86" i="19"/>
  <c r="AB14" i="19" s="1"/>
  <c r="L84" i="19"/>
  <c r="L85" i="19" s="1"/>
  <c r="Y7" i="19" s="1"/>
  <c r="K84" i="19"/>
  <c r="K85" i="19" s="1"/>
  <c r="X7" i="19" s="1"/>
  <c r="J84" i="19"/>
  <c r="J85" i="19" s="1"/>
  <c r="W7" i="19" s="1"/>
  <c r="I84" i="19"/>
  <c r="I85" i="19" s="1"/>
  <c r="V7" i="19" s="1"/>
  <c r="H84" i="19"/>
  <c r="H85" i="19" s="1"/>
  <c r="U7" i="19" s="1"/>
  <c r="G84" i="19"/>
  <c r="G85" i="19" s="1"/>
  <c r="T7" i="19" s="1"/>
  <c r="F84" i="19"/>
  <c r="F85" i="19" s="1"/>
  <c r="S7" i="19" s="1"/>
  <c r="E84" i="19"/>
  <c r="E85" i="19" s="1"/>
  <c r="R7" i="19" s="1"/>
  <c r="D84" i="19"/>
  <c r="D85" i="19" s="1"/>
  <c r="Q7" i="19" s="1"/>
  <c r="C84" i="19"/>
  <c r="C85" i="19" s="1"/>
  <c r="P7" i="19" s="1"/>
  <c r="L65" i="19"/>
  <c r="AK13" i="19" s="1"/>
  <c r="K65" i="19"/>
  <c r="AJ13" i="19" s="1"/>
  <c r="J65" i="19"/>
  <c r="AI13" i="19" s="1"/>
  <c r="I65" i="19"/>
  <c r="AH13" i="19" s="1"/>
  <c r="H65" i="19"/>
  <c r="AG13" i="19" s="1"/>
  <c r="G65" i="19"/>
  <c r="AF13" i="19" s="1"/>
  <c r="F65" i="19"/>
  <c r="E65" i="19"/>
  <c r="D65" i="19"/>
  <c r="AC13" i="19" s="1"/>
  <c r="C65" i="19"/>
  <c r="AB13" i="19" s="1"/>
  <c r="H64" i="19"/>
  <c r="U6" i="19" s="1"/>
  <c r="G64" i="19"/>
  <c r="T6" i="19" s="1"/>
  <c r="L63" i="19"/>
  <c r="L64" i="19" s="1"/>
  <c r="Y6" i="19" s="1"/>
  <c r="K63" i="19"/>
  <c r="K64" i="19" s="1"/>
  <c r="X6" i="19" s="1"/>
  <c r="J63" i="19"/>
  <c r="J64" i="19" s="1"/>
  <c r="W6" i="19" s="1"/>
  <c r="I63" i="19"/>
  <c r="I64" i="19" s="1"/>
  <c r="V6" i="19" s="1"/>
  <c r="H63" i="19"/>
  <c r="G63" i="19"/>
  <c r="F63" i="19"/>
  <c r="F64" i="19" s="1"/>
  <c r="S6" i="19" s="1"/>
  <c r="E63" i="19"/>
  <c r="E64" i="19" s="1"/>
  <c r="R6" i="19" s="1"/>
  <c r="D63" i="19"/>
  <c r="D64" i="19" s="1"/>
  <c r="Q6" i="19" s="1"/>
  <c r="C63" i="19"/>
  <c r="C64" i="19" s="1"/>
  <c r="P6" i="19" s="1"/>
  <c r="L43" i="19"/>
  <c r="AK12" i="19" s="1"/>
  <c r="K43" i="19"/>
  <c r="AJ12" i="19" s="1"/>
  <c r="J43" i="19"/>
  <c r="AI12" i="19" s="1"/>
  <c r="I43" i="19"/>
  <c r="AH12" i="19" s="1"/>
  <c r="H43" i="19"/>
  <c r="AG12" i="19" s="1"/>
  <c r="G43" i="19"/>
  <c r="AF12" i="19" s="1"/>
  <c r="F43" i="19"/>
  <c r="AE12" i="19" s="1"/>
  <c r="E43" i="19"/>
  <c r="AD12" i="19" s="1"/>
  <c r="D43" i="19"/>
  <c r="AC12" i="19" s="1"/>
  <c r="C43" i="19"/>
  <c r="AB12" i="19" s="1"/>
  <c r="F42" i="19"/>
  <c r="S5" i="19" s="1"/>
  <c r="E42" i="19"/>
  <c r="R5" i="19" s="1"/>
  <c r="L41" i="19"/>
  <c r="L42" i="19" s="1"/>
  <c r="Y5" i="19" s="1"/>
  <c r="K41" i="19"/>
  <c r="K42" i="19" s="1"/>
  <c r="X5" i="19" s="1"/>
  <c r="J41" i="19"/>
  <c r="J42" i="19" s="1"/>
  <c r="W5" i="19" s="1"/>
  <c r="I41" i="19"/>
  <c r="I42" i="19" s="1"/>
  <c r="V5" i="19" s="1"/>
  <c r="H41" i="19"/>
  <c r="H42" i="19" s="1"/>
  <c r="U5" i="19" s="1"/>
  <c r="G41" i="19"/>
  <c r="G42" i="19" s="1"/>
  <c r="T5" i="19" s="1"/>
  <c r="F41" i="19"/>
  <c r="E41" i="19"/>
  <c r="D41" i="19"/>
  <c r="D42" i="19" s="1"/>
  <c r="Q5" i="19" s="1"/>
  <c r="C41" i="19"/>
  <c r="C42" i="19" s="1"/>
  <c r="P5" i="19" s="1"/>
  <c r="L21" i="19"/>
  <c r="AK11" i="19" s="1"/>
  <c r="K21" i="19"/>
  <c r="AJ11" i="19" s="1"/>
  <c r="J21" i="19"/>
  <c r="AI11" i="19" s="1"/>
  <c r="I21" i="19"/>
  <c r="AH11" i="19" s="1"/>
  <c r="H21" i="19"/>
  <c r="AG11" i="19" s="1"/>
  <c r="G21" i="19"/>
  <c r="AF11" i="19" s="1"/>
  <c r="F21" i="19"/>
  <c r="AE11" i="19" s="1"/>
  <c r="E21" i="19"/>
  <c r="AD11" i="19" s="1"/>
  <c r="D21" i="19"/>
  <c r="AC11" i="19" s="1"/>
  <c r="C21" i="19"/>
  <c r="AB11" i="19" s="1"/>
  <c r="L19" i="19"/>
  <c r="L20" i="19" s="1"/>
  <c r="Y4" i="19" s="1"/>
  <c r="K19" i="19"/>
  <c r="K20" i="19" s="1"/>
  <c r="X4" i="19" s="1"/>
  <c r="X18" i="19" s="1"/>
  <c r="J19" i="19"/>
  <c r="J20" i="19" s="1"/>
  <c r="W4" i="19" s="1"/>
  <c r="I19" i="19"/>
  <c r="I20" i="19" s="1"/>
  <c r="V4" i="19" s="1"/>
  <c r="H19" i="19"/>
  <c r="H20" i="19" s="1"/>
  <c r="U4" i="19" s="1"/>
  <c r="G19" i="19"/>
  <c r="G20" i="19" s="1"/>
  <c r="T4" i="19" s="1"/>
  <c r="T18" i="19" s="1"/>
  <c r="F19" i="19"/>
  <c r="F20" i="19" s="1"/>
  <c r="S4" i="19" s="1"/>
  <c r="E19" i="19"/>
  <c r="E20" i="19" s="1"/>
  <c r="R4" i="19" s="1"/>
  <c r="D19" i="19"/>
  <c r="D20" i="19" s="1"/>
  <c r="Q4" i="19" s="1"/>
  <c r="C19" i="19"/>
  <c r="C20" i="19" s="1"/>
  <c r="P4" i="19" s="1"/>
  <c r="AK14" i="19"/>
  <c r="AJ14" i="19"/>
  <c r="AE13" i="19"/>
  <c r="AD13" i="19"/>
  <c r="AC11" i="16"/>
  <c r="AD11" i="16"/>
  <c r="AE11" i="16"/>
  <c r="AF11" i="16"/>
  <c r="AG11" i="16"/>
  <c r="AH11" i="16"/>
  <c r="AI11" i="16"/>
  <c r="AJ11" i="16"/>
  <c r="AK11" i="16"/>
  <c r="AC12" i="16"/>
  <c r="AD12" i="16"/>
  <c r="AE12" i="16"/>
  <c r="AF12" i="16"/>
  <c r="AG12" i="16"/>
  <c r="AH12" i="16"/>
  <c r="AI12" i="16"/>
  <c r="AJ12" i="16"/>
  <c r="AK12" i="16"/>
  <c r="AC13" i="16"/>
  <c r="AD13" i="16"/>
  <c r="AE13" i="16"/>
  <c r="AF13" i="16"/>
  <c r="AG13" i="16"/>
  <c r="AH13" i="16"/>
  <c r="AI13" i="16"/>
  <c r="AJ13" i="16"/>
  <c r="AK13" i="16"/>
  <c r="AC14" i="16"/>
  <c r="AD14" i="16"/>
  <c r="AE14" i="16"/>
  <c r="AF14" i="16"/>
  <c r="AG14" i="16"/>
  <c r="AH14" i="16"/>
  <c r="AI14" i="16"/>
  <c r="AJ14" i="16"/>
  <c r="AK14" i="16"/>
  <c r="AC15" i="16"/>
  <c r="AD15" i="16"/>
  <c r="AE15" i="16"/>
  <c r="AF15" i="16"/>
  <c r="AG15" i="16"/>
  <c r="AH15" i="16"/>
  <c r="AI15" i="16"/>
  <c r="AJ15" i="16"/>
  <c r="AK15" i="16"/>
  <c r="AB15" i="16"/>
  <c r="AB14" i="16"/>
  <c r="AB13" i="16"/>
  <c r="AB12" i="16"/>
  <c r="AB11" i="16"/>
  <c r="D44" i="17"/>
  <c r="E44" i="17"/>
  <c r="F44" i="17"/>
  <c r="G44" i="17"/>
  <c r="H44" i="17"/>
  <c r="I44" i="17"/>
  <c r="J44" i="17"/>
  <c r="K44" i="17"/>
  <c r="L44" i="17"/>
  <c r="C44" i="17"/>
  <c r="D42" i="17"/>
  <c r="E42" i="17"/>
  <c r="F42" i="17"/>
  <c r="G42" i="17"/>
  <c r="H42" i="17"/>
  <c r="I42" i="17"/>
  <c r="I43" i="17" s="1"/>
  <c r="V5" i="17" s="1"/>
  <c r="J42" i="17"/>
  <c r="J43" i="17" s="1"/>
  <c r="W5" i="17" s="1"/>
  <c r="K42" i="17"/>
  <c r="K43" i="17" s="1"/>
  <c r="X5" i="17" s="1"/>
  <c r="L42" i="17"/>
  <c r="L43" i="17" s="1"/>
  <c r="Y5" i="17" s="1"/>
  <c r="C42" i="17"/>
  <c r="C43" i="17" s="1"/>
  <c r="P5" i="17" s="1"/>
  <c r="D43" i="16"/>
  <c r="E43" i="16"/>
  <c r="F43" i="16"/>
  <c r="G43" i="16"/>
  <c r="H43" i="16"/>
  <c r="I43" i="16"/>
  <c r="J43" i="16"/>
  <c r="K43" i="16"/>
  <c r="L43" i="16"/>
  <c r="D41" i="16"/>
  <c r="E41" i="16"/>
  <c r="F41" i="16"/>
  <c r="G41" i="16"/>
  <c r="H41" i="16"/>
  <c r="I41" i="16"/>
  <c r="I42" i="16" s="1"/>
  <c r="V5" i="16" s="1"/>
  <c r="J41" i="16"/>
  <c r="J42" i="16" s="1"/>
  <c r="W5" i="16" s="1"/>
  <c r="K41" i="16"/>
  <c r="K42" i="16" s="1"/>
  <c r="X5" i="16" s="1"/>
  <c r="L41" i="16"/>
  <c r="L42" i="16" s="1"/>
  <c r="Y5" i="16" s="1"/>
  <c r="C43" i="16"/>
  <c r="C41" i="16"/>
  <c r="C42" i="16" s="1"/>
  <c r="P5" i="16" s="1"/>
  <c r="AB5" i="16" s="1"/>
  <c r="L108" i="17"/>
  <c r="K108" i="17"/>
  <c r="J108" i="17"/>
  <c r="I108" i="17"/>
  <c r="H108" i="17"/>
  <c r="G108" i="17"/>
  <c r="F108" i="17"/>
  <c r="E108" i="17"/>
  <c r="D108" i="17"/>
  <c r="C108" i="17"/>
  <c r="L107" i="17"/>
  <c r="Y8" i="17" s="1"/>
  <c r="K107" i="17"/>
  <c r="X8" i="17" s="1"/>
  <c r="L106" i="17"/>
  <c r="K106" i="17"/>
  <c r="J106" i="17"/>
  <c r="J107" i="17" s="1"/>
  <c r="W8" i="17" s="1"/>
  <c r="I106" i="17"/>
  <c r="I107" i="17" s="1"/>
  <c r="V8" i="17" s="1"/>
  <c r="H106" i="17"/>
  <c r="H107" i="17" s="1"/>
  <c r="U8" i="17" s="1"/>
  <c r="G106" i="17"/>
  <c r="G107" i="17" s="1"/>
  <c r="T8" i="17" s="1"/>
  <c r="F106" i="17"/>
  <c r="F107" i="17" s="1"/>
  <c r="S8" i="17" s="1"/>
  <c r="E106" i="17"/>
  <c r="E107" i="17" s="1"/>
  <c r="R8" i="17" s="1"/>
  <c r="D106" i="17"/>
  <c r="D107" i="17" s="1"/>
  <c r="Q8" i="17" s="1"/>
  <c r="C106" i="17"/>
  <c r="C107" i="17" s="1"/>
  <c r="P8" i="17" s="1"/>
  <c r="L87" i="17"/>
  <c r="K87" i="17"/>
  <c r="J87" i="17"/>
  <c r="I87" i="17"/>
  <c r="H87" i="17"/>
  <c r="G87" i="17"/>
  <c r="F87" i="17"/>
  <c r="E87" i="17"/>
  <c r="D87" i="17"/>
  <c r="C87" i="17"/>
  <c r="H86" i="17"/>
  <c r="U7" i="17" s="1"/>
  <c r="L85" i="17"/>
  <c r="L86" i="17" s="1"/>
  <c r="Y7" i="17" s="1"/>
  <c r="K85" i="17"/>
  <c r="K86" i="17" s="1"/>
  <c r="X7" i="17" s="1"/>
  <c r="J85" i="17"/>
  <c r="J86" i="17" s="1"/>
  <c r="W7" i="17" s="1"/>
  <c r="I85" i="17"/>
  <c r="I86" i="17" s="1"/>
  <c r="V7" i="17" s="1"/>
  <c r="H85" i="17"/>
  <c r="G85" i="17"/>
  <c r="G86" i="17" s="1"/>
  <c r="T7" i="17" s="1"/>
  <c r="F85" i="17"/>
  <c r="F86" i="17" s="1"/>
  <c r="S7" i="17" s="1"/>
  <c r="E85" i="17"/>
  <c r="E86" i="17" s="1"/>
  <c r="R7" i="17" s="1"/>
  <c r="D85" i="17"/>
  <c r="D86" i="17" s="1"/>
  <c r="Q7" i="17" s="1"/>
  <c r="C85" i="17"/>
  <c r="C86" i="17" s="1"/>
  <c r="P7" i="17" s="1"/>
  <c r="L66" i="17"/>
  <c r="K66" i="17"/>
  <c r="J66" i="17"/>
  <c r="I66" i="17"/>
  <c r="H66" i="17"/>
  <c r="G66" i="17"/>
  <c r="F66" i="17"/>
  <c r="E66" i="17"/>
  <c r="D66" i="17"/>
  <c r="C66" i="17"/>
  <c r="E65" i="17"/>
  <c r="R6" i="17" s="1"/>
  <c r="D65" i="17"/>
  <c r="Q6" i="17" s="1"/>
  <c r="C65" i="17"/>
  <c r="P6" i="17" s="1"/>
  <c r="L64" i="17"/>
  <c r="L65" i="17" s="1"/>
  <c r="Y6" i="17" s="1"/>
  <c r="K64" i="17"/>
  <c r="K65" i="17" s="1"/>
  <c r="X6" i="17" s="1"/>
  <c r="J64" i="17"/>
  <c r="J65" i="17" s="1"/>
  <c r="W6" i="17" s="1"/>
  <c r="I64" i="17"/>
  <c r="I65" i="17" s="1"/>
  <c r="V6" i="17" s="1"/>
  <c r="H64" i="17"/>
  <c r="H65" i="17" s="1"/>
  <c r="U6" i="17" s="1"/>
  <c r="G64" i="17"/>
  <c r="G65" i="17" s="1"/>
  <c r="T6" i="17" s="1"/>
  <c r="F64" i="17"/>
  <c r="F65" i="17" s="1"/>
  <c r="S6" i="17" s="1"/>
  <c r="E64" i="17"/>
  <c r="D64" i="17"/>
  <c r="C64" i="17"/>
  <c r="H43" i="17"/>
  <c r="U5" i="17" s="1"/>
  <c r="G43" i="17"/>
  <c r="T5" i="17" s="1"/>
  <c r="F43" i="17"/>
  <c r="S5" i="17" s="1"/>
  <c r="E43" i="17"/>
  <c r="R5" i="17" s="1"/>
  <c r="D43" i="17"/>
  <c r="Q5" i="17" s="1"/>
  <c r="L22" i="17"/>
  <c r="K22" i="17"/>
  <c r="J22" i="17"/>
  <c r="I22" i="17"/>
  <c r="H22" i="17"/>
  <c r="G22" i="17"/>
  <c r="F22" i="17"/>
  <c r="E22" i="17"/>
  <c r="D22" i="17"/>
  <c r="C22" i="17"/>
  <c r="L20" i="17"/>
  <c r="L21" i="17" s="1"/>
  <c r="Y4" i="17" s="1"/>
  <c r="K20" i="17"/>
  <c r="K21" i="17" s="1"/>
  <c r="X4" i="17" s="1"/>
  <c r="J20" i="17"/>
  <c r="J21" i="17" s="1"/>
  <c r="W4" i="17" s="1"/>
  <c r="I20" i="17"/>
  <c r="I21" i="17" s="1"/>
  <c r="V4" i="17" s="1"/>
  <c r="H20" i="17"/>
  <c r="H21" i="17" s="1"/>
  <c r="U4" i="17" s="1"/>
  <c r="G20" i="17"/>
  <c r="G21" i="17" s="1"/>
  <c r="T4" i="17" s="1"/>
  <c r="F20" i="17"/>
  <c r="F21" i="17" s="1"/>
  <c r="S4" i="17" s="1"/>
  <c r="S19" i="17" s="1"/>
  <c r="E20" i="17"/>
  <c r="E21" i="17" s="1"/>
  <c r="R4" i="17" s="1"/>
  <c r="R19" i="17" s="1"/>
  <c r="D20" i="17"/>
  <c r="D21" i="17" s="1"/>
  <c r="Q4" i="17" s="1"/>
  <c r="C20" i="17"/>
  <c r="C21" i="17" s="1"/>
  <c r="P4" i="17" s="1"/>
  <c r="D107" i="16"/>
  <c r="E107" i="16"/>
  <c r="F107" i="16"/>
  <c r="G107" i="16"/>
  <c r="H107" i="16"/>
  <c r="I107" i="16"/>
  <c r="J107" i="16"/>
  <c r="K107" i="16"/>
  <c r="L107" i="16"/>
  <c r="C107" i="16"/>
  <c r="D105" i="16"/>
  <c r="D106" i="16" s="1"/>
  <c r="Q8" i="16" s="1"/>
  <c r="AC8" i="16" s="1"/>
  <c r="E105" i="16"/>
  <c r="E106" i="16" s="1"/>
  <c r="R8" i="16" s="1"/>
  <c r="AD8" i="16" s="1"/>
  <c r="F105" i="16"/>
  <c r="G105" i="16"/>
  <c r="G106" i="16" s="1"/>
  <c r="T8" i="16" s="1"/>
  <c r="H105" i="16"/>
  <c r="H106" i="16" s="1"/>
  <c r="U8" i="16" s="1"/>
  <c r="I105" i="16"/>
  <c r="I106" i="16" s="1"/>
  <c r="V8" i="16" s="1"/>
  <c r="J105" i="16"/>
  <c r="J106" i="16" s="1"/>
  <c r="W8" i="16" s="1"/>
  <c r="K105" i="16"/>
  <c r="K106" i="16" s="1"/>
  <c r="X8" i="16" s="1"/>
  <c r="L105" i="16"/>
  <c r="L106" i="16" s="1"/>
  <c r="Y8" i="16" s="1"/>
  <c r="C105" i="16"/>
  <c r="C106" i="16" s="1"/>
  <c r="P8" i="16" s="1"/>
  <c r="AB8" i="16" s="1"/>
  <c r="D65" i="16"/>
  <c r="E65" i="16"/>
  <c r="F65" i="16"/>
  <c r="G65" i="16"/>
  <c r="H65" i="16"/>
  <c r="I65" i="16"/>
  <c r="J65" i="16"/>
  <c r="K65" i="16"/>
  <c r="L65" i="16"/>
  <c r="D63" i="16"/>
  <c r="D64" i="16" s="1"/>
  <c r="Q6" i="16" s="1"/>
  <c r="E63" i="16"/>
  <c r="E64" i="16" s="1"/>
  <c r="R6" i="16" s="1"/>
  <c r="AD6" i="16" s="1"/>
  <c r="F63" i="16"/>
  <c r="F64" i="16" s="1"/>
  <c r="S6" i="16" s="1"/>
  <c r="AE6" i="16" s="1"/>
  <c r="G63" i="16"/>
  <c r="G64" i="16" s="1"/>
  <c r="T6" i="16" s="1"/>
  <c r="AF6" i="16" s="1"/>
  <c r="H63" i="16"/>
  <c r="H64" i="16" s="1"/>
  <c r="U6" i="16" s="1"/>
  <c r="AG6" i="16" s="1"/>
  <c r="I63" i="16"/>
  <c r="I64" i="16" s="1"/>
  <c r="V6" i="16" s="1"/>
  <c r="AH6" i="16" s="1"/>
  <c r="J63" i="16"/>
  <c r="J64" i="16" s="1"/>
  <c r="W6" i="16" s="1"/>
  <c r="AI6" i="16" s="1"/>
  <c r="K63" i="16"/>
  <c r="K64" i="16" s="1"/>
  <c r="X6" i="16" s="1"/>
  <c r="AJ6" i="16" s="1"/>
  <c r="L63" i="16"/>
  <c r="L64" i="16" s="1"/>
  <c r="Y6" i="16" s="1"/>
  <c r="C65" i="16"/>
  <c r="C63" i="16"/>
  <c r="C64" i="16" s="1"/>
  <c r="P6" i="16" s="1"/>
  <c r="D19" i="16"/>
  <c r="D20" i="16" s="1"/>
  <c r="Q4" i="16" s="1"/>
  <c r="E19" i="16"/>
  <c r="E20" i="16" s="1"/>
  <c r="R4" i="16" s="1"/>
  <c r="F19" i="16"/>
  <c r="F20" i="16" s="1"/>
  <c r="S4" i="16" s="1"/>
  <c r="AE17" i="16" s="1"/>
  <c r="G19" i="16"/>
  <c r="G20" i="16" s="1"/>
  <c r="T4" i="16" s="1"/>
  <c r="H19" i="16"/>
  <c r="H20" i="16" s="1"/>
  <c r="U4" i="16" s="1"/>
  <c r="I19" i="16"/>
  <c r="I20" i="16" s="1"/>
  <c r="V4" i="16" s="1"/>
  <c r="AH17" i="16" s="1"/>
  <c r="J19" i="16"/>
  <c r="J20" i="16" s="1"/>
  <c r="W4" i="16" s="1"/>
  <c r="AI17" i="16" s="1"/>
  <c r="K19" i="16"/>
  <c r="K20" i="16" s="1"/>
  <c r="X4" i="16" s="1"/>
  <c r="AJ4" i="16" s="1"/>
  <c r="L19" i="16"/>
  <c r="L20" i="16" s="1"/>
  <c r="Y4" i="16" s="1"/>
  <c r="C19" i="16"/>
  <c r="C20" i="16" s="1"/>
  <c r="P4" i="16" s="1"/>
  <c r="F106" i="16"/>
  <c r="S8" i="16" s="1"/>
  <c r="L86" i="16"/>
  <c r="K86" i="16"/>
  <c r="J86" i="16"/>
  <c r="I86" i="16"/>
  <c r="H86" i="16"/>
  <c r="G86" i="16"/>
  <c r="F86" i="16"/>
  <c r="E86" i="16"/>
  <c r="D86" i="16"/>
  <c r="C86" i="16"/>
  <c r="L84" i="16"/>
  <c r="L85" i="16" s="1"/>
  <c r="Y7" i="16" s="1"/>
  <c r="K84" i="16"/>
  <c r="K85" i="16" s="1"/>
  <c r="X7" i="16" s="1"/>
  <c r="J84" i="16"/>
  <c r="J85" i="16" s="1"/>
  <c r="W7" i="16" s="1"/>
  <c r="I84" i="16"/>
  <c r="I85" i="16" s="1"/>
  <c r="V7" i="16" s="1"/>
  <c r="H84" i="16"/>
  <c r="H85" i="16" s="1"/>
  <c r="U7" i="16" s="1"/>
  <c r="G84" i="16"/>
  <c r="G85" i="16" s="1"/>
  <c r="T7" i="16" s="1"/>
  <c r="F84" i="16"/>
  <c r="F85" i="16" s="1"/>
  <c r="S7" i="16" s="1"/>
  <c r="E84" i="16"/>
  <c r="E85" i="16" s="1"/>
  <c r="R7" i="16" s="1"/>
  <c r="D84" i="16"/>
  <c r="D85" i="16" s="1"/>
  <c r="Q7" i="16" s="1"/>
  <c r="C84" i="16"/>
  <c r="C85" i="16" s="1"/>
  <c r="P7" i="16" s="1"/>
  <c r="AB7" i="16" s="1"/>
  <c r="H42" i="16"/>
  <c r="U5" i="16" s="1"/>
  <c r="G42" i="16"/>
  <c r="T5" i="16" s="1"/>
  <c r="F42" i="16"/>
  <c r="S5" i="16" s="1"/>
  <c r="E42" i="16"/>
  <c r="R5" i="16" s="1"/>
  <c r="AD5" i="16" s="1"/>
  <c r="D42" i="16"/>
  <c r="Q5" i="16" s="1"/>
  <c r="AC5" i="16" s="1"/>
  <c r="L21" i="16"/>
  <c r="K21" i="16"/>
  <c r="J21" i="16"/>
  <c r="I21" i="16"/>
  <c r="H21" i="16"/>
  <c r="G21" i="16"/>
  <c r="F21" i="16"/>
  <c r="E21" i="16"/>
  <c r="D21" i="16"/>
  <c r="C21" i="16"/>
  <c r="Q21" i="14"/>
  <c r="R21" i="14"/>
  <c r="S21" i="14"/>
  <c r="T21" i="14"/>
  <c r="U21" i="14"/>
  <c r="V21" i="14"/>
  <c r="W21" i="14"/>
  <c r="X21" i="14"/>
  <c r="Y21" i="14"/>
  <c r="Q22" i="14"/>
  <c r="R22" i="14"/>
  <c r="S22" i="14"/>
  <c r="T22" i="14"/>
  <c r="U22" i="14"/>
  <c r="V22" i="14"/>
  <c r="W22" i="14"/>
  <c r="X22" i="14"/>
  <c r="Y22" i="14"/>
  <c r="Q23" i="14"/>
  <c r="R23" i="14"/>
  <c r="S23" i="14"/>
  <c r="T23" i="14"/>
  <c r="U23" i="14"/>
  <c r="V23" i="14"/>
  <c r="W23" i="14"/>
  <c r="X23" i="14"/>
  <c r="Y23" i="14"/>
  <c r="Q24" i="14"/>
  <c r="R24" i="14"/>
  <c r="S24" i="14"/>
  <c r="T24" i="14"/>
  <c r="U24" i="14"/>
  <c r="V24" i="14"/>
  <c r="W24" i="14"/>
  <c r="X24" i="14"/>
  <c r="Y24" i="14"/>
  <c r="Q25" i="14"/>
  <c r="R25" i="14"/>
  <c r="S25" i="14"/>
  <c r="T25" i="14"/>
  <c r="U25" i="14"/>
  <c r="V25" i="14"/>
  <c r="W25" i="14"/>
  <c r="X25" i="14"/>
  <c r="Y25" i="14"/>
  <c r="P22" i="14"/>
  <c r="P23" i="14"/>
  <c r="P24" i="14"/>
  <c r="P25" i="14"/>
  <c r="P21" i="14"/>
  <c r="C44" i="13"/>
  <c r="C42" i="13"/>
  <c r="K60" i="12"/>
  <c r="L60" i="12"/>
  <c r="K61" i="12"/>
  <c r="L61" i="12"/>
  <c r="H46" i="12"/>
  <c r="H44" i="12"/>
  <c r="I46" i="12"/>
  <c r="I44" i="12"/>
  <c r="P20" i="19" l="1"/>
  <c r="Q20" i="19"/>
  <c r="U18" i="19"/>
  <c r="V18" i="19"/>
  <c r="W18" i="19"/>
  <c r="T21" i="19"/>
  <c r="U21" i="19"/>
  <c r="V21" i="19"/>
  <c r="W21" i="19"/>
  <c r="U22" i="19"/>
  <c r="V20" i="19"/>
  <c r="X22" i="19"/>
  <c r="P18" i="19"/>
  <c r="Y22" i="19"/>
  <c r="S19" i="19"/>
  <c r="S22" i="19"/>
  <c r="X19" i="19"/>
  <c r="R22" i="19"/>
  <c r="Y19" i="19"/>
  <c r="W20" i="19"/>
  <c r="Q18" i="19"/>
  <c r="R19" i="19"/>
  <c r="P19" i="19"/>
  <c r="T19" i="19"/>
  <c r="X21" i="19"/>
  <c r="V22" i="19"/>
  <c r="Q19" i="19"/>
  <c r="U19" i="19"/>
  <c r="Y21" i="19"/>
  <c r="W22" i="19"/>
  <c r="T20" i="19"/>
  <c r="U20" i="19"/>
  <c r="R20" i="19"/>
  <c r="X20" i="19"/>
  <c r="P21" i="19"/>
  <c r="P22" i="19"/>
  <c r="S20" i="19"/>
  <c r="Y20" i="19"/>
  <c r="Q21" i="19"/>
  <c r="Q22" i="19"/>
  <c r="Y18" i="19"/>
  <c r="T22" i="19"/>
  <c r="R18" i="19"/>
  <c r="V19" i="19"/>
  <c r="R21" i="19"/>
  <c r="S18" i="19"/>
  <c r="W19" i="19"/>
  <c r="S21" i="19"/>
  <c r="T21" i="17"/>
  <c r="Y19" i="17"/>
  <c r="V23" i="17"/>
  <c r="X19" i="17"/>
  <c r="V20" i="17"/>
  <c r="W20" i="17"/>
  <c r="X20" i="17"/>
  <c r="P19" i="17"/>
  <c r="P22" i="17"/>
  <c r="Q19" i="17"/>
  <c r="T23" i="17"/>
  <c r="S23" i="17"/>
  <c r="Y22" i="17"/>
  <c r="W23" i="17"/>
  <c r="X23" i="17"/>
  <c r="T20" i="17"/>
  <c r="Q20" i="17"/>
  <c r="Y23" i="17"/>
  <c r="X21" i="17"/>
  <c r="P20" i="17"/>
  <c r="R22" i="17"/>
  <c r="S22" i="17"/>
  <c r="T19" i="17"/>
  <c r="S21" i="17"/>
  <c r="T22" i="17"/>
  <c r="U19" i="17"/>
  <c r="U21" i="17"/>
  <c r="Q22" i="17"/>
  <c r="U22" i="17"/>
  <c r="P23" i="17"/>
  <c r="V19" i="17"/>
  <c r="V22" i="17"/>
  <c r="Q23" i="17"/>
  <c r="P21" i="17"/>
  <c r="W19" i="17"/>
  <c r="Y20" i="17"/>
  <c r="V21" i="17"/>
  <c r="W22" i="17"/>
  <c r="R23" i="17"/>
  <c r="Q21" i="17"/>
  <c r="R20" i="17"/>
  <c r="W21" i="17"/>
  <c r="R21" i="17"/>
  <c r="X22" i="17"/>
  <c r="S20" i="17"/>
  <c r="U20" i="17"/>
  <c r="Y21" i="17"/>
  <c r="U23" i="17"/>
  <c r="AI18" i="16"/>
  <c r="AI21" i="16"/>
  <c r="AK4" i="16"/>
  <c r="AK17" i="16"/>
  <c r="AH21" i="16"/>
  <c r="AH8" i="16"/>
  <c r="AJ18" i="16"/>
  <c r="AK7" i="16"/>
  <c r="AK20" i="16"/>
  <c r="AK18" i="16"/>
  <c r="AK5" i="16"/>
  <c r="AJ7" i="16"/>
  <c r="AJ20" i="16"/>
  <c r="AI8" i="16"/>
  <c r="AH20" i="16"/>
  <c r="AH7" i="16"/>
  <c r="AH19" i="16"/>
  <c r="AH4" i="16"/>
  <c r="AI19" i="16"/>
  <c r="AI4" i="16"/>
  <c r="AJ21" i="16"/>
  <c r="AJ8" i="16"/>
  <c r="AD20" i="16"/>
  <c r="AD7" i="16"/>
  <c r="AE5" i="16"/>
  <c r="AE18" i="16"/>
  <c r="AF17" i="16"/>
  <c r="AF4" i="16"/>
  <c r="AF19" i="16"/>
  <c r="AF5" i="16"/>
  <c r="AF18" i="16"/>
  <c r="AB4" i="16"/>
  <c r="AB17" i="16"/>
  <c r="AB21" i="16"/>
  <c r="AG17" i="16"/>
  <c r="AG19" i="16"/>
  <c r="AG4" i="16"/>
  <c r="AC4" i="16"/>
  <c r="AC17" i="16"/>
  <c r="AC18" i="16"/>
  <c r="AD17" i="16"/>
  <c r="AD4" i="16"/>
  <c r="AD21" i="16"/>
  <c r="AD18" i="16"/>
  <c r="AK6" i="16"/>
  <c r="AK19" i="16"/>
  <c r="AC7" i="16"/>
  <c r="AC20" i="16"/>
  <c r="AK21" i="16"/>
  <c r="AK8" i="16"/>
  <c r="AB19" i="16"/>
  <c r="AC19" i="16"/>
  <c r="AG8" i="16"/>
  <c r="AG21" i="16"/>
  <c r="AD19" i="16"/>
  <c r="AB20" i="16"/>
  <c r="AG5" i="16"/>
  <c r="AG18" i="16"/>
  <c r="AE19" i="16"/>
  <c r="AJ19" i="16"/>
  <c r="AH18" i="16"/>
  <c r="AF8" i="16"/>
  <c r="AF21" i="16"/>
  <c r="AE20" i="16"/>
  <c r="AG20" i="16"/>
  <c r="AF20" i="16"/>
  <c r="AC21" i="16"/>
  <c r="AI20" i="16"/>
  <c r="AI7" i="16"/>
  <c r="AH5" i="16"/>
  <c r="AB6" i="16"/>
  <c r="AE7" i="16"/>
  <c r="AE8" i="16"/>
  <c r="AE21" i="16"/>
  <c r="AE4" i="16"/>
  <c r="AI5" i="16"/>
  <c r="AC6" i="16"/>
  <c r="AF7" i="16"/>
  <c r="AJ5" i="16"/>
  <c r="AG7" i="16"/>
  <c r="AJ17" i="16"/>
  <c r="AB18" i="16"/>
  <c r="AR7" i="14"/>
  <c r="AS7" i="14"/>
  <c r="AT7" i="14"/>
  <c r="AL8" i="14"/>
  <c r="AM8" i="14"/>
  <c r="AQ8" i="14"/>
  <c r="AR8" i="14"/>
  <c r="AS8" i="14"/>
  <c r="AT8" i="14"/>
  <c r="AL11" i="14"/>
  <c r="AM11" i="14"/>
  <c r="AN11" i="14"/>
  <c r="AO11" i="14"/>
  <c r="AP11" i="14"/>
  <c r="AQ11" i="14"/>
  <c r="AT12" i="14"/>
  <c r="AL16" i="14"/>
  <c r="AM16" i="14"/>
  <c r="AO19" i="14"/>
  <c r="AP19" i="14"/>
  <c r="AQ19" i="14"/>
  <c r="AR23" i="14"/>
  <c r="AS23" i="14"/>
  <c r="AT23" i="14"/>
  <c r="AL24" i="14"/>
  <c r="AM24" i="14"/>
  <c r="AQ24" i="14"/>
  <c r="AR24" i="14"/>
  <c r="AS24" i="14"/>
  <c r="AT24" i="14"/>
  <c r="AK23" i="14"/>
  <c r="AK20" i="14"/>
  <c r="AK19" i="14"/>
  <c r="AK16" i="14"/>
  <c r="AK15" i="14"/>
  <c r="Q5" i="14"/>
  <c r="AL6" i="14" s="1"/>
  <c r="R5" i="14"/>
  <c r="AM6" i="14" s="1"/>
  <c r="S5" i="14"/>
  <c r="AN6" i="14" s="1"/>
  <c r="T5" i="14"/>
  <c r="AO6" i="14" s="1"/>
  <c r="U5" i="14"/>
  <c r="AP6" i="14" s="1"/>
  <c r="V5" i="14"/>
  <c r="AQ6" i="14" s="1"/>
  <c r="W5" i="14"/>
  <c r="AR6" i="14" s="1"/>
  <c r="X5" i="14"/>
  <c r="AS6" i="14" s="1"/>
  <c r="Y5" i="14"/>
  <c r="AT6" i="14" s="1"/>
  <c r="Q6" i="14"/>
  <c r="AL10" i="14" s="1"/>
  <c r="R6" i="14"/>
  <c r="AM10" i="14" s="1"/>
  <c r="S6" i="14"/>
  <c r="AN10" i="14" s="1"/>
  <c r="T6" i="14"/>
  <c r="AO10" i="14" s="1"/>
  <c r="U6" i="14"/>
  <c r="AP10" i="14" s="1"/>
  <c r="V6" i="14"/>
  <c r="AQ10" i="14" s="1"/>
  <c r="W6" i="14"/>
  <c r="AR10" i="14" s="1"/>
  <c r="X6" i="14"/>
  <c r="AS10" i="14" s="1"/>
  <c r="Y6" i="14"/>
  <c r="AT10" i="14" s="1"/>
  <c r="Q7" i="14"/>
  <c r="AL14" i="14" s="1"/>
  <c r="R7" i="14"/>
  <c r="AM14" i="14" s="1"/>
  <c r="S7" i="14"/>
  <c r="AN14" i="14" s="1"/>
  <c r="T7" i="14"/>
  <c r="AO14" i="14" s="1"/>
  <c r="U7" i="14"/>
  <c r="AP14" i="14" s="1"/>
  <c r="V7" i="14"/>
  <c r="AQ14" i="14" s="1"/>
  <c r="W7" i="14"/>
  <c r="AR14" i="14" s="1"/>
  <c r="X7" i="14"/>
  <c r="AS14" i="14" s="1"/>
  <c r="Y7" i="14"/>
  <c r="AT14" i="14" s="1"/>
  <c r="Q8" i="14"/>
  <c r="AL18" i="14" s="1"/>
  <c r="R8" i="14"/>
  <c r="AM18" i="14" s="1"/>
  <c r="S8" i="14"/>
  <c r="AN18" i="14" s="1"/>
  <c r="T8" i="14"/>
  <c r="AO18" i="14" s="1"/>
  <c r="U8" i="14"/>
  <c r="AP18" i="14" s="1"/>
  <c r="V8" i="14"/>
  <c r="AQ18" i="14" s="1"/>
  <c r="W8" i="14"/>
  <c r="AR18" i="14" s="1"/>
  <c r="X8" i="14"/>
  <c r="AS18" i="14" s="1"/>
  <c r="Y8" i="14"/>
  <c r="AT18" i="14" s="1"/>
  <c r="Q9" i="14"/>
  <c r="AL22" i="14" s="1"/>
  <c r="R9" i="14"/>
  <c r="AM22" i="14" s="1"/>
  <c r="S9" i="14"/>
  <c r="AN22" i="14" s="1"/>
  <c r="T9" i="14"/>
  <c r="AO22" i="14" s="1"/>
  <c r="U9" i="14"/>
  <c r="AP22" i="14" s="1"/>
  <c r="V9" i="14"/>
  <c r="AQ22" i="14" s="1"/>
  <c r="W9" i="14"/>
  <c r="AR22" i="14" s="1"/>
  <c r="X9" i="14"/>
  <c r="AS22" i="14" s="1"/>
  <c r="Y9" i="14"/>
  <c r="AT22" i="14" s="1"/>
  <c r="P6" i="14"/>
  <c r="AK10" i="14" s="1"/>
  <c r="P7" i="14"/>
  <c r="AK14" i="14" s="1"/>
  <c r="P8" i="14"/>
  <c r="AK18" i="14" s="1"/>
  <c r="P9" i="14"/>
  <c r="AK22" i="14" s="1"/>
  <c r="P5" i="14"/>
  <c r="AK6" i="14" s="1"/>
  <c r="Q13" i="14"/>
  <c r="AL7" i="14" s="1"/>
  <c r="R13" i="14"/>
  <c r="AM7" i="14" s="1"/>
  <c r="S13" i="14"/>
  <c r="AN7" i="14" s="1"/>
  <c r="T13" i="14"/>
  <c r="AO7" i="14" s="1"/>
  <c r="U13" i="14"/>
  <c r="AP7" i="14" s="1"/>
  <c r="V13" i="14"/>
  <c r="AQ7" i="14" s="1"/>
  <c r="W13" i="14"/>
  <c r="X13" i="14"/>
  <c r="Y13" i="14"/>
  <c r="Q14" i="14"/>
  <c r="R14" i="14"/>
  <c r="S14" i="14"/>
  <c r="T14" i="14"/>
  <c r="U14" i="14"/>
  <c r="V14" i="14"/>
  <c r="W14" i="14"/>
  <c r="AR11" i="14" s="1"/>
  <c r="X14" i="14"/>
  <c r="AS11" i="14" s="1"/>
  <c r="Y14" i="14"/>
  <c r="AT11" i="14" s="1"/>
  <c r="Q15" i="14"/>
  <c r="AL15" i="14" s="1"/>
  <c r="R15" i="14"/>
  <c r="AM15" i="14" s="1"/>
  <c r="S15" i="14"/>
  <c r="AN15" i="14" s="1"/>
  <c r="T15" i="14"/>
  <c r="AO15" i="14" s="1"/>
  <c r="U15" i="14"/>
  <c r="AP15" i="14" s="1"/>
  <c r="V15" i="14"/>
  <c r="AQ15" i="14" s="1"/>
  <c r="W15" i="14"/>
  <c r="AR15" i="14" s="1"/>
  <c r="X15" i="14"/>
  <c r="AS15" i="14" s="1"/>
  <c r="Y15" i="14"/>
  <c r="AT15" i="14" s="1"/>
  <c r="Q16" i="14"/>
  <c r="AL19" i="14" s="1"/>
  <c r="R16" i="14"/>
  <c r="AM19" i="14" s="1"/>
  <c r="S16" i="14"/>
  <c r="AN19" i="14" s="1"/>
  <c r="T16" i="14"/>
  <c r="U16" i="14"/>
  <c r="V16" i="14"/>
  <c r="W16" i="14"/>
  <c r="AR19" i="14" s="1"/>
  <c r="X16" i="14"/>
  <c r="AS19" i="14" s="1"/>
  <c r="Y16" i="14"/>
  <c r="AT19" i="14" s="1"/>
  <c r="Q17" i="14"/>
  <c r="AL23" i="14" s="1"/>
  <c r="R17" i="14"/>
  <c r="AM23" i="14" s="1"/>
  <c r="S17" i="14"/>
  <c r="AN23" i="14" s="1"/>
  <c r="T17" i="14"/>
  <c r="AO23" i="14" s="1"/>
  <c r="U17" i="14"/>
  <c r="AP23" i="14" s="1"/>
  <c r="V17" i="14"/>
  <c r="AQ23" i="14" s="1"/>
  <c r="W17" i="14"/>
  <c r="X17" i="14"/>
  <c r="Y17" i="14"/>
  <c r="P14" i="14"/>
  <c r="AK11" i="14" s="1"/>
  <c r="P15" i="14"/>
  <c r="P16" i="14"/>
  <c r="P17" i="14"/>
  <c r="P13" i="14"/>
  <c r="AK7" i="14" s="1"/>
  <c r="AN8" i="14"/>
  <c r="AO8" i="14"/>
  <c r="AP8" i="14"/>
  <c r="AL12" i="14"/>
  <c r="AM12" i="14"/>
  <c r="AN12" i="14"/>
  <c r="AO12" i="14"/>
  <c r="AP12" i="14"/>
  <c r="AQ12" i="14"/>
  <c r="AR12" i="14"/>
  <c r="AS12" i="14"/>
  <c r="AN16" i="14"/>
  <c r="AO16" i="14"/>
  <c r="AP16" i="14"/>
  <c r="AQ16" i="14"/>
  <c r="AR16" i="14"/>
  <c r="AS16" i="14"/>
  <c r="AT16" i="14"/>
  <c r="AL20" i="14"/>
  <c r="AM20" i="14"/>
  <c r="AN20" i="14"/>
  <c r="AO20" i="14"/>
  <c r="AP20" i="14"/>
  <c r="AQ20" i="14"/>
  <c r="AR20" i="14"/>
  <c r="AS20" i="14"/>
  <c r="AT20" i="14"/>
  <c r="AN24" i="14"/>
  <c r="AO24" i="14"/>
  <c r="AP24" i="14"/>
  <c r="AK12" i="14"/>
  <c r="AK24" i="14"/>
  <c r="AK8" i="14"/>
  <c r="AC4" i="10"/>
  <c r="AD4" i="10"/>
  <c r="AE4" i="10"/>
  <c r="AF4" i="10"/>
  <c r="AG4" i="10"/>
  <c r="AH4" i="10"/>
  <c r="AI4" i="10"/>
  <c r="AJ4" i="10"/>
  <c r="AK4" i="10"/>
  <c r="AC5" i="10"/>
  <c r="AD5" i="10"/>
  <c r="AE5" i="10"/>
  <c r="AF5" i="10"/>
  <c r="AG5" i="10"/>
  <c r="AH5" i="10"/>
  <c r="AI5" i="10"/>
  <c r="AJ5" i="10"/>
  <c r="AK5" i="10"/>
  <c r="AC6" i="10"/>
  <c r="AD6" i="10"/>
  <c r="AE6" i="10"/>
  <c r="AF6" i="10"/>
  <c r="AG6" i="10"/>
  <c r="AH6" i="10"/>
  <c r="AI6" i="10"/>
  <c r="AJ6" i="10"/>
  <c r="AK6" i="10"/>
  <c r="AC7" i="10"/>
  <c r="AD7" i="10"/>
  <c r="AE7" i="10"/>
  <c r="AF7" i="10"/>
  <c r="AG7" i="10"/>
  <c r="AH7" i="10"/>
  <c r="AI7" i="10"/>
  <c r="AJ7" i="10"/>
  <c r="AK7" i="10"/>
  <c r="AC8" i="10"/>
  <c r="AD8" i="10"/>
  <c r="AE8" i="10"/>
  <c r="AF8" i="10"/>
  <c r="AG8" i="10"/>
  <c r="AH8" i="10"/>
  <c r="AI8" i="10"/>
  <c r="AJ8" i="10"/>
  <c r="AK8" i="10"/>
  <c r="AB5" i="10"/>
  <c r="AB6" i="10"/>
  <c r="AB7" i="10"/>
  <c r="AB8" i="10"/>
  <c r="AB4" i="10"/>
  <c r="AD5" i="12"/>
  <c r="AJ5" i="12"/>
  <c r="AC6" i="12"/>
  <c r="AC7" i="12"/>
  <c r="AI8" i="12"/>
  <c r="AB6" i="12"/>
  <c r="P13" i="10"/>
  <c r="Q13" i="10"/>
  <c r="R13" i="10"/>
  <c r="S13" i="10"/>
  <c r="T13" i="10"/>
  <c r="U13" i="10"/>
  <c r="V13" i="10"/>
  <c r="W13" i="10"/>
  <c r="X13" i="10"/>
  <c r="Y13" i="10"/>
  <c r="P14" i="10"/>
  <c r="Q14" i="10"/>
  <c r="R14" i="10"/>
  <c r="S14" i="10"/>
  <c r="T14" i="10"/>
  <c r="U14" i="10"/>
  <c r="V14" i="10"/>
  <c r="W14" i="10"/>
  <c r="X14" i="10"/>
  <c r="Y14" i="10"/>
  <c r="P15" i="10"/>
  <c r="Q15" i="10"/>
  <c r="R15" i="10"/>
  <c r="S15" i="10"/>
  <c r="T15" i="10"/>
  <c r="U15" i="10"/>
  <c r="V15" i="10"/>
  <c r="W15" i="10"/>
  <c r="X15" i="10"/>
  <c r="Y15" i="10"/>
  <c r="P16" i="10"/>
  <c r="Q16" i="10"/>
  <c r="R16" i="10"/>
  <c r="S16" i="10"/>
  <c r="T16" i="10"/>
  <c r="U16" i="10"/>
  <c r="V16" i="10"/>
  <c r="W16" i="10"/>
  <c r="X16" i="10"/>
  <c r="Y16" i="10"/>
  <c r="Y12" i="10"/>
  <c r="X12" i="10"/>
  <c r="W12" i="10"/>
  <c r="V12" i="10"/>
  <c r="U12" i="10"/>
  <c r="T12" i="10"/>
  <c r="S12" i="10"/>
  <c r="R12" i="10"/>
  <c r="Q12" i="10"/>
  <c r="P12" i="10"/>
  <c r="D73" i="13"/>
  <c r="Q8" i="13" s="1"/>
  <c r="L72" i="13"/>
  <c r="L73" i="13" s="1"/>
  <c r="Y8" i="13" s="1"/>
  <c r="K72" i="13"/>
  <c r="K73" i="13" s="1"/>
  <c r="X8" i="13" s="1"/>
  <c r="X16" i="13" s="1"/>
  <c r="J72" i="13"/>
  <c r="J73" i="13" s="1"/>
  <c r="W8" i="13" s="1"/>
  <c r="I72" i="13"/>
  <c r="I73" i="13" s="1"/>
  <c r="V8" i="13" s="1"/>
  <c r="H72" i="13"/>
  <c r="H73" i="13" s="1"/>
  <c r="U8" i="13" s="1"/>
  <c r="G72" i="13"/>
  <c r="G73" i="13" s="1"/>
  <c r="T8" i="13" s="1"/>
  <c r="F72" i="13"/>
  <c r="F73" i="13" s="1"/>
  <c r="S8" i="13" s="1"/>
  <c r="E72" i="13"/>
  <c r="E73" i="13" s="1"/>
  <c r="R8" i="13" s="1"/>
  <c r="D72" i="13"/>
  <c r="C72" i="13"/>
  <c r="C73" i="13" s="1"/>
  <c r="P8" i="13" s="1"/>
  <c r="L59" i="13"/>
  <c r="K59" i="13"/>
  <c r="J59" i="13"/>
  <c r="I59" i="13"/>
  <c r="H59" i="13"/>
  <c r="G59" i="13"/>
  <c r="F59" i="13"/>
  <c r="E59" i="13"/>
  <c r="D59" i="13"/>
  <c r="C59" i="13"/>
  <c r="L57" i="13"/>
  <c r="L58" i="13" s="1"/>
  <c r="Y7" i="13" s="1"/>
  <c r="K57" i="13"/>
  <c r="K58" i="13" s="1"/>
  <c r="X7" i="13" s="1"/>
  <c r="J57" i="13"/>
  <c r="J58" i="13" s="1"/>
  <c r="W7" i="13" s="1"/>
  <c r="I57" i="13"/>
  <c r="I58" i="13" s="1"/>
  <c r="V7" i="13" s="1"/>
  <c r="H57" i="13"/>
  <c r="H58" i="13" s="1"/>
  <c r="U7" i="13" s="1"/>
  <c r="G57" i="13"/>
  <c r="G58" i="13" s="1"/>
  <c r="T7" i="13" s="1"/>
  <c r="F57" i="13"/>
  <c r="F58" i="13" s="1"/>
  <c r="S7" i="13" s="1"/>
  <c r="S15" i="13" s="1"/>
  <c r="E57" i="13"/>
  <c r="E58" i="13" s="1"/>
  <c r="R7" i="13" s="1"/>
  <c r="D57" i="13"/>
  <c r="D58" i="13" s="1"/>
  <c r="Q7" i="13" s="1"/>
  <c r="C57" i="13"/>
  <c r="C58" i="13" s="1"/>
  <c r="P7" i="13" s="1"/>
  <c r="L44" i="13"/>
  <c r="K44" i="13"/>
  <c r="J44" i="13"/>
  <c r="I44" i="13"/>
  <c r="H44" i="13"/>
  <c r="G44" i="13"/>
  <c r="F44" i="13"/>
  <c r="E44" i="13"/>
  <c r="D44" i="13"/>
  <c r="D43" i="13"/>
  <c r="Q6" i="13" s="1"/>
  <c r="C43" i="13"/>
  <c r="P6" i="13" s="1"/>
  <c r="L42" i="13"/>
  <c r="L43" i="13" s="1"/>
  <c r="Y6" i="13" s="1"/>
  <c r="K42" i="13"/>
  <c r="K43" i="13" s="1"/>
  <c r="X6" i="13" s="1"/>
  <c r="J42" i="13"/>
  <c r="J43" i="13" s="1"/>
  <c r="W6" i="13" s="1"/>
  <c r="I42" i="13"/>
  <c r="I43" i="13" s="1"/>
  <c r="V6" i="13" s="1"/>
  <c r="H42" i="13"/>
  <c r="H43" i="13" s="1"/>
  <c r="U6" i="13" s="1"/>
  <c r="G42" i="13"/>
  <c r="G43" i="13" s="1"/>
  <c r="T6" i="13" s="1"/>
  <c r="F42" i="13"/>
  <c r="F43" i="13" s="1"/>
  <c r="S6" i="13" s="1"/>
  <c r="E42" i="13"/>
  <c r="E43" i="13" s="1"/>
  <c r="R6" i="13" s="1"/>
  <c r="D42" i="13"/>
  <c r="L29" i="13"/>
  <c r="K29" i="13"/>
  <c r="J29" i="13"/>
  <c r="I29" i="13"/>
  <c r="H29" i="13"/>
  <c r="G29" i="13"/>
  <c r="F29" i="13"/>
  <c r="E29" i="13"/>
  <c r="D29" i="13"/>
  <c r="C29" i="13"/>
  <c r="L27" i="13"/>
  <c r="L28" i="13" s="1"/>
  <c r="Y5" i="13" s="1"/>
  <c r="K27" i="13"/>
  <c r="K28" i="13" s="1"/>
  <c r="X5" i="13" s="1"/>
  <c r="J27" i="13"/>
  <c r="J28" i="13" s="1"/>
  <c r="W5" i="13" s="1"/>
  <c r="I27" i="13"/>
  <c r="I28" i="13" s="1"/>
  <c r="V5" i="13" s="1"/>
  <c r="H27" i="13"/>
  <c r="H28" i="13" s="1"/>
  <c r="U5" i="13" s="1"/>
  <c r="G27" i="13"/>
  <c r="G28" i="13" s="1"/>
  <c r="T5" i="13" s="1"/>
  <c r="F27" i="13"/>
  <c r="F28" i="13" s="1"/>
  <c r="S5" i="13" s="1"/>
  <c r="E27" i="13"/>
  <c r="E28" i="13" s="1"/>
  <c r="R5" i="13" s="1"/>
  <c r="D27" i="13"/>
  <c r="D28" i="13" s="1"/>
  <c r="Q5" i="13" s="1"/>
  <c r="C27" i="13"/>
  <c r="C28" i="13" s="1"/>
  <c r="P5" i="13" s="1"/>
  <c r="L14" i="13"/>
  <c r="K14" i="13"/>
  <c r="J14" i="13"/>
  <c r="I14" i="13"/>
  <c r="H14" i="13"/>
  <c r="G14" i="13"/>
  <c r="F14" i="13"/>
  <c r="E14" i="13"/>
  <c r="D14" i="13"/>
  <c r="C14" i="13"/>
  <c r="L12" i="13"/>
  <c r="L13" i="13" s="1"/>
  <c r="Y4" i="13" s="1"/>
  <c r="K12" i="13"/>
  <c r="K13" i="13" s="1"/>
  <c r="X4" i="13" s="1"/>
  <c r="X12" i="13" s="1"/>
  <c r="J12" i="13"/>
  <c r="J13" i="13" s="1"/>
  <c r="W4" i="13" s="1"/>
  <c r="W12" i="13" s="1"/>
  <c r="I12" i="13"/>
  <c r="I13" i="13" s="1"/>
  <c r="V4" i="13" s="1"/>
  <c r="V12" i="13" s="1"/>
  <c r="H12" i="13"/>
  <c r="H13" i="13" s="1"/>
  <c r="U4" i="13" s="1"/>
  <c r="U12" i="13" s="1"/>
  <c r="G12" i="13"/>
  <c r="G13" i="13" s="1"/>
  <c r="T4" i="13" s="1"/>
  <c r="F12" i="13"/>
  <c r="F13" i="13" s="1"/>
  <c r="S4" i="13" s="1"/>
  <c r="E12" i="13"/>
  <c r="E13" i="13" s="1"/>
  <c r="R4" i="13" s="1"/>
  <c r="D12" i="13"/>
  <c r="D13" i="13" s="1"/>
  <c r="Q4" i="13" s="1"/>
  <c r="C12" i="13"/>
  <c r="C13" i="13" s="1"/>
  <c r="P4" i="13" s="1"/>
  <c r="C16" i="12"/>
  <c r="D14" i="12"/>
  <c r="D15" i="12" s="1"/>
  <c r="Q4" i="12" s="1"/>
  <c r="E14" i="12"/>
  <c r="E15" i="12" s="1"/>
  <c r="R4" i="12" s="1"/>
  <c r="F14" i="12"/>
  <c r="F15" i="12" s="1"/>
  <c r="S4" i="12" s="1"/>
  <c r="G14" i="12"/>
  <c r="G15" i="12" s="1"/>
  <c r="T4" i="12" s="1"/>
  <c r="H14" i="12"/>
  <c r="H15" i="12" s="1"/>
  <c r="U4" i="12" s="1"/>
  <c r="I14" i="12"/>
  <c r="I15" i="12" s="1"/>
  <c r="V4" i="12" s="1"/>
  <c r="J14" i="12"/>
  <c r="J15" i="12" s="1"/>
  <c r="W4" i="12" s="1"/>
  <c r="K14" i="12"/>
  <c r="K15" i="12" s="1"/>
  <c r="X4" i="12" s="1"/>
  <c r="X15" i="12" s="1"/>
  <c r="L14" i="12"/>
  <c r="L15" i="12" s="1"/>
  <c r="Y4" i="12" s="1"/>
  <c r="C14" i="12"/>
  <c r="C15" i="12" s="1"/>
  <c r="P4" i="12" s="1"/>
  <c r="AB4" i="12" s="1"/>
  <c r="L77" i="12"/>
  <c r="K77" i="12"/>
  <c r="J77" i="12"/>
  <c r="I77" i="12"/>
  <c r="H77" i="12"/>
  <c r="G77" i="12"/>
  <c r="F77" i="12"/>
  <c r="E77" i="12"/>
  <c r="D77" i="12"/>
  <c r="C77" i="12"/>
  <c r="F76" i="12"/>
  <c r="S8" i="12" s="1"/>
  <c r="AE8" i="12" s="1"/>
  <c r="L75" i="12"/>
  <c r="L76" i="12" s="1"/>
  <c r="Y8" i="12" s="1"/>
  <c r="AK8" i="12" s="1"/>
  <c r="K75" i="12"/>
  <c r="K76" i="12" s="1"/>
  <c r="X8" i="12" s="1"/>
  <c r="AJ8" i="12" s="1"/>
  <c r="J75" i="12"/>
  <c r="J76" i="12" s="1"/>
  <c r="W8" i="12" s="1"/>
  <c r="I75" i="12"/>
  <c r="I76" i="12" s="1"/>
  <c r="V8" i="12" s="1"/>
  <c r="AH8" i="12" s="1"/>
  <c r="H75" i="12"/>
  <c r="H76" i="12" s="1"/>
  <c r="U8" i="12" s="1"/>
  <c r="AG8" i="12" s="1"/>
  <c r="G75" i="12"/>
  <c r="G76" i="12" s="1"/>
  <c r="T8" i="12" s="1"/>
  <c r="AF8" i="12" s="1"/>
  <c r="F75" i="12"/>
  <c r="E75" i="12"/>
  <c r="E76" i="12" s="1"/>
  <c r="R8" i="12" s="1"/>
  <c r="AD8" i="12" s="1"/>
  <c r="D75" i="12"/>
  <c r="D76" i="12" s="1"/>
  <c r="Q8" i="12" s="1"/>
  <c r="AC8" i="12" s="1"/>
  <c r="C75" i="12"/>
  <c r="C76" i="12" s="1"/>
  <c r="P8" i="12" s="1"/>
  <c r="AB8" i="12" s="1"/>
  <c r="L62" i="12"/>
  <c r="K62" i="12"/>
  <c r="J62" i="12"/>
  <c r="I62" i="12"/>
  <c r="H62" i="12"/>
  <c r="G62" i="12"/>
  <c r="F62" i="12"/>
  <c r="E62" i="12"/>
  <c r="D62" i="12"/>
  <c r="C62" i="12"/>
  <c r="Y7" i="12"/>
  <c r="AK7" i="12" s="1"/>
  <c r="X7" i="12"/>
  <c r="AJ7" i="12" s="1"/>
  <c r="J60" i="12"/>
  <c r="J61" i="12" s="1"/>
  <c r="W7" i="12" s="1"/>
  <c r="AI7" i="12" s="1"/>
  <c r="I60" i="12"/>
  <c r="I61" i="12" s="1"/>
  <c r="V7" i="12" s="1"/>
  <c r="AH7" i="12" s="1"/>
  <c r="H60" i="12"/>
  <c r="H61" i="12" s="1"/>
  <c r="U7" i="12" s="1"/>
  <c r="AG7" i="12" s="1"/>
  <c r="G60" i="12"/>
  <c r="G61" i="12" s="1"/>
  <c r="T7" i="12" s="1"/>
  <c r="AF7" i="12" s="1"/>
  <c r="F60" i="12"/>
  <c r="F61" i="12" s="1"/>
  <c r="S7" i="12" s="1"/>
  <c r="AE7" i="12" s="1"/>
  <c r="E60" i="12"/>
  <c r="E61" i="12" s="1"/>
  <c r="R7" i="12" s="1"/>
  <c r="AD7" i="12" s="1"/>
  <c r="D60" i="12"/>
  <c r="D61" i="12" s="1"/>
  <c r="Q7" i="12" s="1"/>
  <c r="C60" i="12"/>
  <c r="C61" i="12" s="1"/>
  <c r="P7" i="12" s="1"/>
  <c r="AB7" i="12" s="1"/>
  <c r="L46" i="12"/>
  <c r="K46" i="12"/>
  <c r="J46" i="12"/>
  <c r="G46" i="12"/>
  <c r="F46" i="12"/>
  <c r="E46" i="12"/>
  <c r="D46" i="12"/>
  <c r="C46" i="12"/>
  <c r="L44" i="12"/>
  <c r="L45" i="12" s="1"/>
  <c r="Y6" i="12" s="1"/>
  <c r="AK6" i="12" s="1"/>
  <c r="K44" i="12"/>
  <c r="K45" i="12" s="1"/>
  <c r="X6" i="12" s="1"/>
  <c r="AJ6" i="12" s="1"/>
  <c r="J44" i="12"/>
  <c r="J45" i="12" s="1"/>
  <c r="W6" i="12" s="1"/>
  <c r="AI6" i="12" s="1"/>
  <c r="I45" i="12"/>
  <c r="V6" i="12" s="1"/>
  <c r="AH6" i="12" s="1"/>
  <c r="H45" i="12"/>
  <c r="U6" i="12" s="1"/>
  <c r="AG6" i="12" s="1"/>
  <c r="G44" i="12"/>
  <c r="G45" i="12" s="1"/>
  <c r="T6" i="12" s="1"/>
  <c r="AF6" i="12" s="1"/>
  <c r="F44" i="12"/>
  <c r="F45" i="12" s="1"/>
  <c r="S6" i="12" s="1"/>
  <c r="AE6" i="12" s="1"/>
  <c r="E44" i="12"/>
  <c r="E45" i="12" s="1"/>
  <c r="R6" i="12" s="1"/>
  <c r="AD6" i="12" s="1"/>
  <c r="D44" i="12"/>
  <c r="D45" i="12" s="1"/>
  <c r="Q6" i="12" s="1"/>
  <c r="C44" i="12"/>
  <c r="C45" i="12" s="1"/>
  <c r="P6" i="12" s="1"/>
  <c r="L31" i="12"/>
  <c r="K31" i="12"/>
  <c r="J31" i="12"/>
  <c r="I31" i="12"/>
  <c r="H31" i="12"/>
  <c r="G31" i="12"/>
  <c r="F31" i="12"/>
  <c r="E31" i="12"/>
  <c r="D31" i="12"/>
  <c r="C31" i="12"/>
  <c r="L29" i="12"/>
  <c r="L30" i="12" s="1"/>
  <c r="Y5" i="12" s="1"/>
  <c r="AK5" i="12" s="1"/>
  <c r="K29" i="12"/>
  <c r="K30" i="12" s="1"/>
  <c r="X5" i="12" s="1"/>
  <c r="J29" i="12"/>
  <c r="J30" i="12" s="1"/>
  <c r="W5" i="12" s="1"/>
  <c r="AI5" i="12" s="1"/>
  <c r="I29" i="12"/>
  <c r="I30" i="12" s="1"/>
  <c r="V5" i="12" s="1"/>
  <c r="AH5" i="12" s="1"/>
  <c r="H29" i="12"/>
  <c r="H30" i="12" s="1"/>
  <c r="U5" i="12" s="1"/>
  <c r="AG5" i="12" s="1"/>
  <c r="G29" i="12"/>
  <c r="G30" i="12" s="1"/>
  <c r="T5" i="12" s="1"/>
  <c r="AF5" i="12" s="1"/>
  <c r="F29" i="12"/>
  <c r="F30" i="12" s="1"/>
  <c r="S5" i="12" s="1"/>
  <c r="AE5" i="12" s="1"/>
  <c r="E29" i="12"/>
  <c r="E30" i="12" s="1"/>
  <c r="R5" i="12" s="1"/>
  <c r="D29" i="12"/>
  <c r="D30" i="12" s="1"/>
  <c r="Q5" i="12" s="1"/>
  <c r="AC5" i="12" s="1"/>
  <c r="C29" i="12"/>
  <c r="C30" i="12" s="1"/>
  <c r="P5" i="12" s="1"/>
  <c r="AB5" i="12" s="1"/>
  <c r="L16" i="12"/>
  <c r="K16" i="12"/>
  <c r="J16" i="12"/>
  <c r="I16" i="12"/>
  <c r="H16" i="12"/>
  <c r="G16" i="12"/>
  <c r="F16" i="12"/>
  <c r="E16" i="12"/>
  <c r="D16" i="12"/>
  <c r="Q8" i="10"/>
  <c r="R8" i="10"/>
  <c r="S8" i="10"/>
  <c r="T8" i="10"/>
  <c r="U8" i="10"/>
  <c r="V8" i="10"/>
  <c r="W8" i="10"/>
  <c r="X8" i="10"/>
  <c r="Y8" i="10"/>
  <c r="P8" i="10"/>
  <c r="Q7" i="10"/>
  <c r="R7" i="10"/>
  <c r="S7" i="10"/>
  <c r="T7" i="10"/>
  <c r="U7" i="10"/>
  <c r="V7" i="10"/>
  <c r="W7" i="10"/>
  <c r="X7" i="10"/>
  <c r="Y7" i="10"/>
  <c r="P7" i="10"/>
  <c r="D62" i="10"/>
  <c r="E62" i="10"/>
  <c r="F62" i="10"/>
  <c r="G62" i="10"/>
  <c r="H62" i="10"/>
  <c r="I62" i="10"/>
  <c r="J62" i="10"/>
  <c r="K62" i="10"/>
  <c r="L62" i="10"/>
  <c r="C62" i="10"/>
  <c r="D60" i="10"/>
  <c r="E60" i="10"/>
  <c r="F60" i="10"/>
  <c r="G60" i="10"/>
  <c r="H60" i="10"/>
  <c r="H61" i="10" s="1"/>
  <c r="I60" i="10"/>
  <c r="I61" i="10" s="1"/>
  <c r="J60" i="10"/>
  <c r="J61" i="10" s="1"/>
  <c r="K60" i="10"/>
  <c r="K61" i="10" s="1"/>
  <c r="L60" i="10"/>
  <c r="C60" i="10"/>
  <c r="R5" i="10"/>
  <c r="R4" i="10"/>
  <c r="Y4" i="10"/>
  <c r="C29" i="10"/>
  <c r="C30" i="10" s="1"/>
  <c r="P5" i="10" s="1"/>
  <c r="D29" i="10"/>
  <c r="D30" i="10" s="1"/>
  <c r="Q5" i="10" s="1"/>
  <c r="E29" i="10"/>
  <c r="E30" i="10" s="1"/>
  <c r="F29" i="10"/>
  <c r="F30" i="10" s="1"/>
  <c r="S5" i="10" s="1"/>
  <c r="G29" i="10"/>
  <c r="G30" i="10" s="1"/>
  <c r="T5" i="10" s="1"/>
  <c r="H29" i="10"/>
  <c r="H30" i="10" s="1"/>
  <c r="U5" i="10" s="1"/>
  <c r="I29" i="10"/>
  <c r="I30" i="10" s="1"/>
  <c r="V5" i="10" s="1"/>
  <c r="J29" i="10"/>
  <c r="J30" i="10" s="1"/>
  <c r="W5" i="10" s="1"/>
  <c r="K29" i="10"/>
  <c r="K30" i="10" s="1"/>
  <c r="X5" i="10" s="1"/>
  <c r="C31" i="10"/>
  <c r="D31" i="10"/>
  <c r="E31" i="10"/>
  <c r="F31" i="10"/>
  <c r="G31" i="10"/>
  <c r="H31" i="10"/>
  <c r="I31" i="10"/>
  <c r="J31" i="10"/>
  <c r="K31" i="10"/>
  <c r="D15" i="10"/>
  <c r="E15" i="10"/>
  <c r="C15" i="10"/>
  <c r="F15" i="10"/>
  <c r="G15" i="10"/>
  <c r="H15" i="10"/>
  <c r="I15" i="10"/>
  <c r="J15" i="10"/>
  <c r="K15" i="10"/>
  <c r="L15" i="10"/>
  <c r="L31" i="10"/>
  <c r="L29" i="10"/>
  <c r="L30" i="10" s="1"/>
  <c r="Y5" i="10" s="1"/>
  <c r="E13" i="10"/>
  <c r="E14" i="10" s="1"/>
  <c r="D13" i="10"/>
  <c r="D14" i="10" s="1"/>
  <c r="Q4" i="10" s="1"/>
  <c r="C13" i="10"/>
  <c r="C14" i="10" s="1"/>
  <c r="L13" i="10"/>
  <c r="L14" i="10" s="1"/>
  <c r="K13" i="10"/>
  <c r="K14" i="10" s="1"/>
  <c r="X4" i="10" s="1"/>
  <c r="L77" i="10"/>
  <c r="K77" i="10"/>
  <c r="J77" i="10"/>
  <c r="I77" i="10"/>
  <c r="H77" i="10"/>
  <c r="G77" i="10"/>
  <c r="F77" i="10"/>
  <c r="E77" i="10"/>
  <c r="D77" i="10"/>
  <c r="C77" i="10"/>
  <c r="G76" i="10"/>
  <c r="F76" i="10"/>
  <c r="E76" i="10"/>
  <c r="D76" i="10"/>
  <c r="L75" i="10"/>
  <c r="L76" i="10" s="1"/>
  <c r="K75" i="10"/>
  <c r="K76" i="10" s="1"/>
  <c r="J75" i="10"/>
  <c r="J76" i="10" s="1"/>
  <c r="I75" i="10"/>
  <c r="I76" i="10" s="1"/>
  <c r="H75" i="10"/>
  <c r="H76" i="10" s="1"/>
  <c r="G75" i="10"/>
  <c r="F75" i="10"/>
  <c r="E75" i="10"/>
  <c r="D75" i="10"/>
  <c r="C75" i="10"/>
  <c r="C76" i="10" s="1"/>
  <c r="L61" i="10"/>
  <c r="G61" i="10"/>
  <c r="F61" i="10"/>
  <c r="E61" i="10"/>
  <c r="D61" i="10"/>
  <c r="C61" i="10"/>
  <c r="L46" i="10"/>
  <c r="K46" i="10"/>
  <c r="J46" i="10"/>
  <c r="I46" i="10"/>
  <c r="H46" i="10"/>
  <c r="G46" i="10"/>
  <c r="F46" i="10"/>
  <c r="E46" i="10"/>
  <c r="D46" i="10"/>
  <c r="C46" i="10"/>
  <c r="L44" i="10"/>
  <c r="L45" i="10" s="1"/>
  <c r="Y6" i="10" s="1"/>
  <c r="K44" i="10"/>
  <c r="K45" i="10" s="1"/>
  <c r="X6" i="10" s="1"/>
  <c r="J44" i="10"/>
  <c r="J45" i="10" s="1"/>
  <c r="W6" i="10" s="1"/>
  <c r="I44" i="10"/>
  <c r="I45" i="10" s="1"/>
  <c r="V6" i="10" s="1"/>
  <c r="H44" i="10"/>
  <c r="H45" i="10" s="1"/>
  <c r="U6" i="10" s="1"/>
  <c r="G44" i="10"/>
  <c r="G45" i="10" s="1"/>
  <c r="T6" i="10" s="1"/>
  <c r="F44" i="10"/>
  <c r="F45" i="10" s="1"/>
  <c r="S6" i="10" s="1"/>
  <c r="E44" i="10"/>
  <c r="E45" i="10" s="1"/>
  <c r="R6" i="10" s="1"/>
  <c r="D44" i="10"/>
  <c r="D45" i="10" s="1"/>
  <c r="Q6" i="10" s="1"/>
  <c r="C44" i="10"/>
  <c r="C45" i="10" s="1"/>
  <c r="P6" i="10" s="1"/>
  <c r="J13" i="10"/>
  <c r="J14" i="10" s="1"/>
  <c r="W4" i="10" s="1"/>
  <c r="I13" i="10"/>
  <c r="I14" i="10" s="1"/>
  <c r="V4" i="10" s="1"/>
  <c r="H13" i="10"/>
  <c r="H14" i="10" s="1"/>
  <c r="U4" i="10" s="1"/>
  <c r="G13" i="10"/>
  <c r="G14" i="10" s="1"/>
  <c r="T4" i="10" s="1"/>
  <c r="F13" i="10"/>
  <c r="F14" i="10" s="1"/>
  <c r="S4" i="10" s="1"/>
  <c r="H15" i="5"/>
  <c r="I15" i="5"/>
  <c r="J15" i="5"/>
  <c r="K15" i="5"/>
  <c r="G15" i="5"/>
  <c r="H14" i="5"/>
  <c r="I14" i="5"/>
  <c r="J14" i="5"/>
  <c r="K14" i="5"/>
  <c r="G14" i="5"/>
  <c r="E95" i="4"/>
  <c r="E96" i="4"/>
  <c r="E97" i="4"/>
  <c r="E98" i="4"/>
  <c r="E94" i="4"/>
  <c r="C95" i="4"/>
  <c r="D95" i="4"/>
  <c r="F95" i="4"/>
  <c r="G95" i="4"/>
  <c r="H95" i="4"/>
  <c r="I95" i="4"/>
  <c r="J95" i="4"/>
  <c r="K95" i="4"/>
  <c r="L95" i="4"/>
  <c r="C96" i="4"/>
  <c r="D96" i="4"/>
  <c r="F96" i="4"/>
  <c r="G96" i="4"/>
  <c r="H96" i="4"/>
  <c r="I96" i="4"/>
  <c r="J96" i="4"/>
  <c r="K96" i="4"/>
  <c r="L96" i="4"/>
  <c r="C97" i="4"/>
  <c r="D97" i="4"/>
  <c r="F97" i="4"/>
  <c r="G97" i="4"/>
  <c r="H97" i="4"/>
  <c r="I97" i="4"/>
  <c r="J97" i="4"/>
  <c r="K97" i="4"/>
  <c r="L97" i="4"/>
  <c r="C98" i="4"/>
  <c r="D98" i="4"/>
  <c r="F98" i="4"/>
  <c r="G98" i="4"/>
  <c r="H98" i="4"/>
  <c r="I98" i="4"/>
  <c r="J98" i="4"/>
  <c r="K98" i="4"/>
  <c r="L98" i="4"/>
  <c r="J94" i="4"/>
  <c r="I94" i="4"/>
  <c r="K94" i="4"/>
  <c r="L94" i="4"/>
  <c r="H94" i="4"/>
  <c r="G94" i="4"/>
  <c r="F94" i="4"/>
  <c r="D94" i="4"/>
  <c r="C94" i="4"/>
  <c r="L87" i="4"/>
  <c r="L88" i="4"/>
  <c r="L89" i="4"/>
  <c r="L90" i="4"/>
  <c r="L86" i="4"/>
  <c r="K87" i="4"/>
  <c r="K88" i="4"/>
  <c r="K89" i="4"/>
  <c r="K90" i="4"/>
  <c r="K86" i="4"/>
  <c r="J87" i="4"/>
  <c r="J88" i="4"/>
  <c r="J89" i="4"/>
  <c r="J90" i="4"/>
  <c r="J86" i="4"/>
  <c r="I87" i="4"/>
  <c r="I88" i="4"/>
  <c r="I89" i="4"/>
  <c r="I90" i="4"/>
  <c r="I86" i="4"/>
  <c r="H87" i="4"/>
  <c r="H88" i="4"/>
  <c r="H89" i="4"/>
  <c r="H90" i="4"/>
  <c r="H86" i="4"/>
  <c r="G87" i="4"/>
  <c r="G88" i="4"/>
  <c r="G89" i="4"/>
  <c r="G90" i="4"/>
  <c r="G86" i="4"/>
  <c r="F87" i="4"/>
  <c r="F88" i="4"/>
  <c r="F89" i="4"/>
  <c r="F90" i="4"/>
  <c r="F86" i="4"/>
  <c r="E87" i="4"/>
  <c r="E88" i="4"/>
  <c r="E89" i="4"/>
  <c r="E90" i="4"/>
  <c r="E86" i="4"/>
  <c r="D87" i="4"/>
  <c r="D88" i="4"/>
  <c r="D89" i="4"/>
  <c r="D90" i="4"/>
  <c r="D86" i="4"/>
  <c r="C87" i="4"/>
  <c r="C88" i="4"/>
  <c r="C89" i="4"/>
  <c r="C90" i="4"/>
  <c r="C86" i="4"/>
  <c r="L79" i="4"/>
  <c r="L80" i="4"/>
  <c r="L81" i="4"/>
  <c r="L82" i="4"/>
  <c r="L78" i="4"/>
  <c r="K79" i="4"/>
  <c r="K80" i="4"/>
  <c r="K81" i="4"/>
  <c r="K82" i="4"/>
  <c r="K78" i="4"/>
  <c r="J79" i="4"/>
  <c r="J80" i="4"/>
  <c r="J81" i="4"/>
  <c r="J82" i="4"/>
  <c r="J78" i="4"/>
  <c r="I79" i="4"/>
  <c r="I80" i="4"/>
  <c r="I81" i="4"/>
  <c r="I82" i="4"/>
  <c r="I78" i="4"/>
  <c r="H79" i="4"/>
  <c r="H80" i="4"/>
  <c r="H81" i="4"/>
  <c r="H82" i="4"/>
  <c r="H78" i="4"/>
  <c r="G79" i="4"/>
  <c r="G80" i="4"/>
  <c r="G81" i="4"/>
  <c r="G82" i="4"/>
  <c r="G78" i="4"/>
  <c r="F79" i="4"/>
  <c r="F80" i="4"/>
  <c r="F81" i="4"/>
  <c r="F82" i="4"/>
  <c r="F78" i="4"/>
  <c r="E79" i="4"/>
  <c r="E80" i="4"/>
  <c r="E81" i="4"/>
  <c r="E82" i="4"/>
  <c r="E78" i="4"/>
  <c r="D79" i="4"/>
  <c r="D80" i="4"/>
  <c r="D81" i="4"/>
  <c r="D82" i="4"/>
  <c r="D78" i="4"/>
  <c r="C79" i="4"/>
  <c r="C80" i="4"/>
  <c r="C81" i="4"/>
  <c r="C82" i="4"/>
  <c r="C78" i="4"/>
  <c r="B11" i="5"/>
  <c r="C11" i="5"/>
  <c r="D11" i="5"/>
  <c r="E11" i="5"/>
  <c r="G11" i="5"/>
  <c r="H11" i="5"/>
  <c r="I11" i="5"/>
  <c r="J11" i="5"/>
  <c r="K11" i="5"/>
  <c r="M11" i="5"/>
  <c r="N11" i="5"/>
  <c r="O11" i="5"/>
  <c r="P11" i="5"/>
  <c r="Q11" i="5"/>
  <c r="A11" i="5"/>
  <c r="B10" i="5"/>
  <c r="C10" i="5"/>
  <c r="D10" i="5"/>
  <c r="E10" i="5"/>
  <c r="G10" i="5"/>
  <c r="H10" i="5"/>
  <c r="I10" i="5"/>
  <c r="J10" i="5"/>
  <c r="K10" i="5"/>
  <c r="M10" i="5"/>
  <c r="N10" i="5"/>
  <c r="O10" i="5"/>
  <c r="P10" i="5"/>
  <c r="Q10" i="5"/>
  <c r="A10" i="5"/>
  <c r="P21" i="4"/>
  <c r="Q21" i="4"/>
  <c r="R21" i="4"/>
  <c r="S21" i="4"/>
  <c r="T21" i="4"/>
  <c r="U21" i="4"/>
  <c r="V21" i="4"/>
  <c r="W21" i="4"/>
  <c r="X21" i="4"/>
  <c r="Y21" i="4"/>
  <c r="P22" i="4"/>
  <c r="Q22" i="4"/>
  <c r="R22" i="4"/>
  <c r="S22" i="4"/>
  <c r="T22" i="4"/>
  <c r="U22" i="4"/>
  <c r="V22" i="4"/>
  <c r="W22" i="4"/>
  <c r="X22" i="4"/>
  <c r="Y22" i="4"/>
  <c r="P23" i="4"/>
  <c r="Q23" i="4"/>
  <c r="R23" i="4"/>
  <c r="S23" i="4"/>
  <c r="T23" i="4"/>
  <c r="U23" i="4"/>
  <c r="V23" i="4"/>
  <c r="W23" i="4"/>
  <c r="X23" i="4"/>
  <c r="Y23" i="4"/>
  <c r="P24" i="4"/>
  <c r="Q24" i="4"/>
  <c r="R24" i="4"/>
  <c r="S24" i="4"/>
  <c r="T24" i="4"/>
  <c r="U24" i="4"/>
  <c r="V24" i="4"/>
  <c r="W24" i="4"/>
  <c r="X24" i="4"/>
  <c r="Y24" i="4"/>
  <c r="Q20" i="4"/>
  <c r="R20" i="4"/>
  <c r="S20" i="4"/>
  <c r="T20" i="4"/>
  <c r="U20" i="4"/>
  <c r="V20" i="4"/>
  <c r="W20" i="4"/>
  <c r="X20" i="4"/>
  <c r="Y20" i="4"/>
  <c r="P20" i="4"/>
  <c r="P13" i="4"/>
  <c r="Q13" i="4"/>
  <c r="R13" i="4"/>
  <c r="S13" i="4"/>
  <c r="T13" i="4"/>
  <c r="U13" i="4"/>
  <c r="V13" i="4"/>
  <c r="W13" i="4"/>
  <c r="X13" i="4"/>
  <c r="Y13" i="4"/>
  <c r="P14" i="4"/>
  <c r="Q14" i="4"/>
  <c r="R14" i="4"/>
  <c r="S14" i="4"/>
  <c r="T14" i="4"/>
  <c r="U14" i="4"/>
  <c r="V14" i="4"/>
  <c r="W14" i="4"/>
  <c r="X14" i="4"/>
  <c r="Y14" i="4"/>
  <c r="P15" i="4"/>
  <c r="Q15" i="4"/>
  <c r="R15" i="4"/>
  <c r="S15" i="4"/>
  <c r="T15" i="4"/>
  <c r="U15" i="4"/>
  <c r="V15" i="4"/>
  <c r="W15" i="4"/>
  <c r="X15" i="4"/>
  <c r="Y15" i="4"/>
  <c r="P16" i="4"/>
  <c r="Q16" i="4"/>
  <c r="R16" i="4"/>
  <c r="S16" i="4"/>
  <c r="T16" i="4"/>
  <c r="U16" i="4"/>
  <c r="V16" i="4"/>
  <c r="W16" i="4"/>
  <c r="X16" i="4"/>
  <c r="Y16" i="4"/>
  <c r="Q12" i="4"/>
  <c r="R12" i="4"/>
  <c r="S12" i="4"/>
  <c r="T12" i="4"/>
  <c r="U12" i="4"/>
  <c r="V12" i="4"/>
  <c r="W12" i="4"/>
  <c r="X12" i="4"/>
  <c r="Y12" i="4"/>
  <c r="P12" i="4"/>
  <c r="K15" i="4"/>
  <c r="Y6" i="2"/>
  <c r="I21" i="4"/>
  <c r="G21" i="4"/>
  <c r="V5" i="1"/>
  <c r="T5" i="1"/>
  <c r="D12" i="1"/>
  <c r="E12" i="1"/>
  <c r="F12" i="1"/>
  <c r="F13" i="1" s="1"/>
  <c r="G12" i="1"/>
  <c r="H12" i="1"/>
  <c r="I12" i="1"/>
  <c r="J12" i="1"/>
  <c r="J13" i="1" s="1"/>
  <c r="K12" i="1"/>
  <c r="K13" i="1" s="1"/>
  <c r="L12" i="1"/>
  <c r="L13" i="1" s="1"/>
  <c r="C12" i="1"/>
  <c r="D13" i="1"/>
  <c r="E13" i="1"/>
  <c r="I61" i="2"/>
  <c r="J61" i="2"/>
  <c r="K61" i="2"/>
  <c r="I59" i="2"/>
  <c r="J59" i="2"/>
  <c r="K59" i="2"/>
  <c r="D14" i="2"/>
  <c r="E14" i="2"/>
  <c r="F14" i="2"/>
  <c r="G14" i="2"/>
  <c r="H14" i="2"/>
  <c r="I14" i="2"/>
  <c r="J14" i="2"/>
  <c r="J15" i="2" s="1"/>
  <c r="K14" i="2"/>
  <c r="K15" i="2" s="1"/>
  <c r="L14" i="2"/>
  <c r="L15" i="2" s="1"/>
  <c r="C14" i="2"/>
  <c r="C15" i="2"/>
  <c r="L74" i="3"/>
  <c r="K74" i="3"/>
  <c r="J74" i="3"/>
  <c r="I74" i="3"/>
  <c r="H74" i="3"/>
  <c r="G74" i="3"/>
  <c r="F74" i="3"/>
  <c r="E74" i="3"/>
  <c r="D74" i="3"/>
  <c r="C74" i="3"/>
  <c r="D73" i="3"/>
  <c r="C73" i="3"/>
  <c r="L72" i="3"/>
  <c r="L73" i="3" s="1"/>
  <c r="K72" i="3"/>
  <c r="K73" i="3" s="1"/>
  <c r="J72" i="3"/>
  <c r="J73" i="3" s="1"/>
  <c r="I72" i="3"/>
  <c r="I73" i="3" s="1"/>
  <c r="H72" i="3"/>
  <c r="H73" i="3" s="1"/>
  <c r="G72" i="3"/>
  <c r="G73" i="3" s="1"/>
  <c r="F72" i="3"/>
  <c r="F73" i="3" s="1"/>
  <c r="E72" i="3"/>
  <c r="E73" i="3" s="1"/>
  <c r="D72" i="3"/>
  <c r="C72" i="3"/>
  <c r="L59" i="3"/>
  <c r="K59" i="3"/>
  <c r="J59" i="3"/>
  <c r="I59" i="3"/>
  <c r="H59" i="3"/>
  <c r="G59" i="3"/>
  <c r="F59" i="3"/>
  <c r="E59" i="3"/>
  <c r="D59" i="3"/>
  <c r="C59" i="3"/>
  <c r="E58" i="3"/>
  <c r="L57" i="3"/>
  <c r="L58" i="3" s="1"/>
  <c r="K57" i="3"/>
  <c r="K58" i="3" s="1"/>
  <c r="J57" i="3"/>
  <c r="J58" i="3" s="1"/>
  <c r="I57" i="3"/>
  <c r="I58" i="3" s="1"/>
  <c r="H57" i="3"/>
  <c r="H58" i="3" s="1"/>
  <c r="G57" i="3"/>
  <c r="G58" i="3" s="1"/>
  <c r="F57" i="3"/>
  <c r="F58" i="3" s="1"/>
  <c r="E57" i="3"/>
  <c r="D57" i="3"/>
  <c r="D58" i="3" s="1"/>
  <c r="C57" i="3"/>
  <c r="C58" i="3" s="1"/>
  <c r="L44" i="3"/>
  <c r="K44" i="3"/>
  <c r="J44" i="3"/>
  <c r="I44" i="3"/>
  <c r="H44" i="3"/>
  <c r="G44" i="3"/>
  <c r="F44" i="3"/>
  <c r="E44" i="3"/>
  <c r="D44" i="3"/>
  <c r="C44" i="3"/>
  <c r="L42" i="3"/>
  <c r="L43" i="3" s="1"/>
  <c r="K42" i="3"/>
  <c r="K43" i="3" s="1"/>
  <c r="J42" i="3"/>
  <c r="J43" i="3" s="1"/>
  <c r="I42" i="3"/>
  <c r="I43" i="3" s="1"/>
  <c r="H42" i="3"/>
  <c r="H43" i="3" s="1"/>
  <c r="G42" i="3"/>
  <c r="G43" i="3" s="1"/>
  <c r="F42" i="3"/>
  <c r="F43" i="3" s="1"/>
  <c r="E42" i="3"/>
  <c r="E43" i="3" s="1"/>
  <c r="D42" i="3"/>
  <c r="D43" i="3" s="1"/>
  <c r="C42" i="3"/>
  <c r="C43" i="3" s="1"/>
  <c r="L29" i="3"/>
  <c r="K29" i="3"/>
  <c r="J29" i="3"/>
  <c r="I29" i="3"/>
  <c r="H29" i="3"/>
  <c r="G29" i="3"/>
  <c r="F29" i="3"/>
  <c r="E29" i="3"/>
  <c r="D29" i="3"/>
  <c r="C29" i="3"/>
  <c r="L27" i="3"/>
  <c r="L28" i="3" s="1"/>
  <c r="K27" i="3"/>
  <c r="K28" i="3" s="1"/>
  <c r="J27" i="3"/>
  <c r="J28" i="3" s="1"/>
  <c r="I27" i="3"/>
  <c r="I28" i="3" s="1"/>
  <c r="H27" i="3"/>
  <c r="H28" i="3" s="1"/>
  <c r="G27" i="3"/>
  <c r="G28" i="3" s="1"/>
  <c r="F27" i="3"/>
  <c r="F28" i="3" s="1"/>
  <c r="E27" i="3"/>
  <c r="E28" i="3" s="1"/>
  <c r="D27" i="3"/>
  <c r="D28" i="3" s="1"/>
  <c r="C27" i="3"/>
  <c r="C28" i="3" s="1"/>
  <c r="L14" i="3"/>
  <c r="K14" i="3"/>
  <c r="J14" i="3"/>
  <c r="I14" i="3"/>
  <c r="H14" i="3"/>
  <c r="G14" i="3"/>
  <c r="F14" i="3"/>
  <c r="E14" i="3"/>
  <c r="D14" i="3"/>
  <c r="C14" i="3"/>
  <c r="D13" i="3"/>
  <c r="L12" i="3"/>
  <c r="L13" i="3" s="1"/>
  <c r="K12" i="3"/>
  <c r="K13" i="3" s="1"/>
  <c r="J12" i="3"/>
  <c r="J13" i="3" s="1"/>
  <c r="I12" i="3"/>
  <c r="I13" i="3" s="1"/>
  <c r="H12" i="3"/>
  <c r="H13" i="3" s="1"/>
  <c r="G12" i="3"/>
  <c r="G13" i="3" s="1"/>
  <c r="F12" i="3"/>
  <c r="F13" i="3" s="1"/>
  <c r="E12" i="3"/>
  <c r="E13" i="3" s="1"/>
  <c r="D12" i="3"/>
  <c r="C12" i="3"/>
  <c r="C13" i="3" s="1"/>
  <c r="L76" i="2"/>
  <c r="K76" i="2"/>
  <c r="J76" i="2"/>
  <c r="I76" i="2"/>
  <c r="H76" i="2"/>
  <c r="G76" i="2"/>
  <c r="F76" i="2"/>
  <c r="E76" i="2"/>
  <c r="D76" i="2"/>
  <c r="C76" i="2"/>
  <c r="C75" i="2"/>
  <c r="L74" i="2"/>
  <c r="L75" i="2" s="1"/>
  <c r="K74" i="2"/>
  <c r="K75" i="2" s="1"/>
  <c r="J74" i="2"/>
  <c r="J75" i="2" s="1"/>
  <c r="I74" i="2"/>
  <c r="I75" i="2" s="1"/>
  <c r="H74" i="2"/>
  <c r="H75" i="2" s="1"/>
  <c r="G74" i="2"/>
  <c r="G75" i="2" s="1"/>
  <c r="F74" i="2"/>
  <c r="F75" i="2" s="1"/>
  <c r="E74" i="2"/>
  <c r="E75" i="2" s="1"/>
  <c r="D74" i="2"/>
  <c r="D75" i="2" s="1"/>
  <c r="C74" i="2"/>
  <c r="L61" i="2"/>
  <c r="H61" i="2"/>
  <c r="G61" i="2"/>
  <c r="F61" i="2"/>
  <c r="E61" i="2"/>
  <c r="D61" i="2"/>
  <c r="C61" i="2"/>
  <c r="L59" i="2"/>
  <c r="L60" i="2" s="1"/>
  <c r="K60" i="2"/>
  <c r="J60" i="2"/>
  <c r="I60" i="2"/>
  <c r="H59" i="2"/>
  <c r="H60" i="2" s="1"/>
  <c r="G59" i="2"/>
  <c r="G60" i="2" s="1"/>
  <c r="F59" i="2"/>
  <c r="F60" i="2" s="1"/>
  <c r="E59" i="2"/>
  <c r="E60" i="2" s="1"/>
  <c r="D59" i="2"/>
  <c r="D60" i="2" s="1"/>
  <c r="C59" i="2"/>
  <c r="C60" i="2" s="1"/>
  <c r="L46" i="2"/>
  <c r="K46" i="2"/>
  <c r="J46" i="2"/>
  <c r="I46" i="2"/>
  <c r="H46" i="2"/>
  <c r="G46" i="2"/>
  <c r="F46" i="2"/>
  <c r="E46" i="2"/>
  <c r="D46" i="2"/>
  <c r="C46" i="2"/>
  <c r="L44" i="2"/>
  <c r="L45" i="2" s="1"/>
  <c r="K44" i="2"/>
  <c r="K45" i="2" s="1"/>
  <c r="J44" i="2"/>
  <c r="J45" i="2" s="1"/>
  <c r="I44" i="2"/>
  <c r="I45" i="2" s="1"/>
  <c r="H44" i="2"/>
  <c r="H45" i="2" s="1"/>
  <c r="G44" i="2"/>
  <c r="G45" i="2" s="1"/>
  <c r="F44" i="2"/>
  <c r="F45" i="2" s="1"/>
  <c r="E44" i="2"/>
  <c r="E45" i="2" s="1"/>
  <c r="D44" i="2"/>
  <c r="D45" i="2" s="1"/>
  <c r="C44" i="2"/>
  <c r="C45" i="2" s="1"/>
  <c r="L31" i="2"/>
  <c r="K31" i="2"/>
  <c r="J31" i="2"/>
  <c r="I31" i="2"/>
  <c r="H31" i="2"/>
  <c r="G31" i="2"/>
  <c r="F31" i="2"/>
  <c r="E31" i="2"/>
  <c r="D31" i="2"/>
  <c r="C31" i="2"/>
  <c r="L29" i="2"/>
  <c r="L30" i="2" s="1"/>
  <c r="K29" i="2"/>
  <c r="K30" i="2" s="1"/>
  <c r="J29" i="2"/>
  <c r="J30" i="2" s="1"/>
  <c r="I29" i="2"/>
  <c r="I30" i="2" s="1"/>
  <c r="H29" i="2"/>
  <c r="H30" i="2" s="1"/>
  <c r="G29" i="2"/>
  <c r="G30" i="2" s="1"/>
  <c r="F29" i="2"/>
  <c r="F30" i="2" s="1"/>
  <c r="E29" i="2"/>
  <c r="E30" i="2" s="1"/>
  <c r="D29" i="2"/>
  <c r="D30" i="2" s="1"/>
  <c r="C29" i="2"/>
  <c r="C30" i="2" s="1"/>
  <c r="L16" i="2"/>
  <c r="K16" i="2"/>
  <c r="J16" i="2"/>
  <c r="I16" i="2"/>
  <c r="H16" i="2"/>
  <c r="G16" i="2"/>
  <c r="F16" i="2"/>
  <c r="E16" i="2"/>
  <c r="D16" i="2"/>
  <c r="C16" i="2"/>
  <c r="I15" i="2"/>
  <c r="H15" i="2"/>
  <c r="G15" i="2"/>
  <c r="F15" i="2"/>
  <c r="E15" i="2"/>
  <c r="D15" i="2"/>
  <c r="L75" i="1"/>
  <c r="K75" i="1"/>
  <c r="J75" i="1"/>
  <c r="I75" i="1"/>
  <c r="H75" i="1"/>
  <c r="G75" i="1"/>
  <c r="F75" i="1"/>
  <c r="E75" i="1"/>
  <c r="D75" i="1"/>
  <c r="C75" i="1"/>
  <c r="E74" i="1"/>
  <c r="C74" i="1"/>
  <c r="L73" i="1"/>
  <c r="L74" i="1" s="1"/>
  <c r="K73" i="1"/>
  <c r="K74" i="1" s="1"/>
  <c r="J73" i="1"/>
  <c r="J74" i="1" s="1"/>
  <c r="I73" i="1"/>
  <c r="I74" i="1" s="1"/>
  <c r="H73" i="1"/>
  <c r="H74" i="1" s="1"/>
  <c r="G73" i="1"/>
  <c r="G74" i="1" s="1"/>
  <c r="F73" i="1"/>
  <c r="F74" i="1" s="1"/>
  <c r="E73" i="1"/>
  <c r="D73" i="1"/>
  <c r="D74" i="1" s="1"/>
  <c r="C73" i="1"/>
  <c r="L60" i="1"/>
  <c r="K60" i="1"/>
  <c r="J60" i="1"/>
  <c r="I60" i="1"/>
  <c r="H60" i="1"/>
  <c r="G60" i="1"/>
  <c r="F60" i="1"/>
  <c r="E60" i="1"/>
  <c r="D60" i="1"/>
  <c r="C60" i="1"/>
  <c r="K59" i="1"/>
  <c r="J59" i="1"/>
  <c r="I59" i="1"/>
  <c r="H59" i="1"/>
  <c r="G59" i="1"/>
  <c r="C59" i="1"/>
  <c r="L58" i="1"/>
  <c r="L59" i="1" s="1"/>
  <c r="K58" i="1"/>
  <c r="J58" i="1"/>
  <c r="I58" i="1"/>
  <c r="H58" i="1"/>
  <c r="G58" i="1"/>
  <c r="F58" i="1"/>
  <c r="F59" i="1" s="1"/>
  <c r="E58" i="1"/>
  <c r="E59" i="1" s="1"/>
  <c r="D58" i="1"/>
  <c r="D59" i="1" s="1"/>
  <c r="C58" i="1"/>
  <c r="L45" i="1"/>
  <c r="K45" i="1"/>
  <c r="J45" i="1"/>
  <c r="I45" i="1"/>
  <c r="H45" i="1"/>
  <c r="G45" i="1"/>
  <c r="F45" i="1"/>
  <c r="E45" i="1"/>
  <c r="D45" i="1"/>
  <c r="C45" i="1"/>
  <c r="E44" i="1"/>
  <c r="L43" i="1"/>
  <c r="L44" i="1" s="1"/>
  <c r="K43" i="1"/>
  <c r="K44" i="1" s="1"/>
  <c r="J43" i="1"/>
  <c r="J44" i="1" s="1"/>
  <c r="I43" i="1"/>
  <c r="I44" i="1" s="1"/>
  <c r="H43" i="1"/>
  <c r="H44" i="1" s="1"/>
  <c r="G43" i="1"/>
  <c r="G44" i="1" s="1"/>
  <c r="F43" i="1"/>
  <c r="F44" i="1" s="1"/>
  <c r="E43" i="1"/>
  <c r="D43" i="1"/>
  <c r="D44" i="1" s="1"/>
  <c r="C43" i="1"/>
  <c r="C44" i="1" s="1"/>
  <c r="L29" i="1"/>
  <c r="K29" i="1"/>
  <c r="J29" i="1"/>
  <c r="I29" i="1"/>
  <c r="H29" i="1"/>
  <c r="G29" i="1"/>
  <c r="F29" i="1"/>
  <c r="E29" i="1"/>
  <c r="D29" i="1"/>
  <c r="C29" i="1"/>
  <c r="G28" i="1"/>
  <c r="L27" i="1"/>
  <c r="L28" i="1" s="1"/>
  <c r="K27" i="1"/>
  <c r="K28" i="1" s="1"/>
  <c r="J27" i="1"/>
  <c r="J28" i="1" s="1"/>
  <c r="I27" i="1"/>
  <c r="I28" i="1" s="1"/>
  <c r="H27" i="1"/>
  <c r="H28" i="1" s="1"/>
  <c r="G27" i="1"/>
  <c r="F27" i="1"/>
  <c r="F28" i="1" s="1"/>
  <c r="E27" i="1"/>
  <c r="E28" i="1" s="1"/>
  <c r="D27" i="1"/>
  <c r="D28" i="1" s="1"/>
  <c r="C27" i="1"/>
  <c r="C28" i="1" s="1"/>
  <c r="L14" i="1"/>
  <c r="K14" i="1"/>
  <c r="J14" i="1"/>
  <c r="I14" i="1"/>
  <c r="H14" i="1"/>
  <c r="G14" i="1"/>
  <c r="F14" i="1"/>
  <c r="E14" i="1"/>
  <c r="D14" i="1"/>
  <c r="C14" i="1"/>
  <c r="C13" i="1"/>
  <c r="I13" i="1"/>
  <c r="H13" i="1"/>
  <c r="G13" i="1"/>
  <c r="Y16" i="13" l="1"/>
  <c r="P14" i="13"/>
  <c r="P13" i="13"/>
  <c r="P12" i="13"/>
  <c r="U15" i="13"/>
  <c r="U16" i="13"/>
  <c r="V16" i="13"/>
  <c r="V15" i="13"/>
  <c r="W15" i="13"/>
  <c r="W16" i="13"/>
  <c r="Y12" i="13"/>
  <c r="S13" i="12"/>
  <c r="S16" i="13"/>
  <c r="R15" i="13"/>
  <c r="Y13" i="13"/>
  <c r="T16" i="13"/>
  <c r="T12" i="13"/>
  <c r="T14" i="13"/>
  <c r="T15" i="13"/>
  <c r="T13" i="13"/>
  <c r="Q15" i="13"/>
  <c r="Q16" i="13"/>
  <c r="Q14" i="13"/>
  <c r="Q12" i="13"/>
  <c r="Q13" i="13"/>
  <c r="R12" i="13"/>
  <c r="V14" i="13"/>
  <c r="X15" i="13"/>
  <c r="S12" i="13"/>
  <c r="U13" i="13"/>
  <c r="W14" i="13"/>
  <c r="Y15" i="13"/>
  <c r="R13" i="13"/>
  <c r="U14" i="13"/>
  <c r="V13" i="13"/>
  <c r="X14" i="13"/>
  <c r="P16" i="13"/>
  <c r="R14" i="13"/>
  <c r="S14" i="13"/>
  <c r="S13" i="13"/>
  <c r="W13" i="13"/>
  <c r="Y14" i="13"/>
  <c r="X13" i="13"/>
  <c r="P15" i="13"/>
  <c r="R16" i="13"/>
  <c r="R16" i="12"/>
  <c r="W15" i="12"/>
  <c r="Y15" i="12"/>
  <c r="T14" i="12"/>
  <c r="V14" i="12"/>
  <c r="V15" i="12"/>
  <c r="AH4" i="12"/>
  <c r="V12" i="12"/>
  <c r="V16" i="12"/>
  <c r="V13" i="12"/>
  <c r="U14" i="12"/>
  <c r="AG4" i="12"/>
  <c r="U15" i="12"/>
  <c r="U12" i="12"/>
  <c r="U16" i="12"/>
  <c r="U13" i="12"/>
  <c r="T13" i="12"/>
  <c r="W14" i="12"/>
  <c r="P16" i="12"/>
  <c r="P12" i="12"/>
  <c r="X14" i="12"/>
  <c r="S16" i="12"/>
  <c r="S12" i="12"/>
  <c r="Y14" i="12"/>
  <c r="T16" i="12"/>
  <c r="AK4" i="12"/>
  <c r="T12" i="12"/>
  <c r="W13" i="12"/>
  <c r="P15" i="12"/>
  <c r="X13" i="12"/>
  <c r="R15" i="12"/>
  <c r="AJ4" i="12"/>
  <c r="Y13" i="12"/>
  <c r="S15" i="12"/>
  <c r="W16" i="12"/>
  <c r="AI4" i="12"/>
  <c r="W12" i="12"/>
  <c r="P14" i="12"/>
  <c r="T15" i="12"/>
  <c r="X16" i="12"/>
  <c r="X12" i="12"/>
  <c r="R14" i="12"/>
  <c r="Y16" i="12"/>
  <c r="Y12" i="12"/>
  <c r="S14" i="12"/>
  <c r="AF4" i="12"/>
  <c r="P13" i="12"/>
  <c r="AE4" i="12"/>
  <c r="R13" i="12"/>
  <c r="Q13" i="12"/>
  <c r="Q15" i="12"/>
  <c r="Q12" i="12"/>
  <c r="Q14" i="12"/>
  <c r="AC4" i="12"/>
  <c r="Q16" i="12"/>
  <c r="AD4" i="12"/>
  <c r="R1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<sst xmlns="http://schemas.openxmlformats.org/spreadsheetml/2006/main" count="429" uniqueCount="84">
  <si>
    <t>0 PSI</t>
  </si>
  <si>
    <t>Amp</t>
  </si>
  <si>
    <t>kPa</t>
  </si>
  <si>
    <t>Voltage</t>
  </si>
  <si>
    <t>0.4 PSI</t>
  </si>
  <si>
    <t>0.8 PSI</t>
  </si>
  <si>
    <t>1.2 PSI</t>
  </si>
  <si>
    <t>1.6 PSI</t>
  </si>
  <si>
    <t>0 mmHg</t>
  </si>
  <si>
    <t>20 mmHg</t>
  </si>
  <si>
    <t>40 mmHg</t>
  </si>
  <si>
    <t>60 mmHg</t>
  </si>
  <si>
    <t>80 mmHg</t>
  </si>
  <si>
    <t>High</t>
  </si>
  <si>
    <t>Low</t>
  </si>
  <si>
    <t>Medium</t>
  </si>
  <si>
    <t>Original</t>
  </si>
  <si>
    <t>Gain Adjusted</t>
  </si>
  <si>
    <t>73 kPa</t>
  </si>
  <si>
    <t>120 kPa</t>
  </si>
  <si>
    <t>164 kPa</t>
  </si>
  <si>
    <t>256 kPa</t>
  </si>
  <si>
    <t>353 kPa</t>
  </si>
  <si>
    <t>427 kPa</t>
  </si>
  <si>
    <t>522 kPa</t>
  </si>
  <si>
    <t>586 kPa</t>
  </si>
  <si>
    <t>638 kPa</t>
  </si>
  <si>
    <t>705 kPa</t>
  </si>
  <si>
    <t>PSI</t>
  </si>
  <si>
    <t>Averge Before Gain Adjustment</t>
  </si>
  <si>
    <t>Average After Gain Adjustment</t>
  </si>
  <si>
    <t>Std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</si>
  <si>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</si>
  <si>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</si>
  <si>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</si>
  <si>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</si>
  <si>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</si>
  <si>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</si>
  <si>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</si>
  <si>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</si>
  <si>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</si>
  <si>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</si>
  <si>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</si>
  <si>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</si>
  <si>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</si>
  <si>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</si>
  <si>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</si>
  <si>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</si>
  <si>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</si>
  <si>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</si>
  <si>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</si>
  <si>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</si>
  <si>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Decibel Gain Adjustment</t>
  </si>
  <si>
    <t>ROI Name</t>
  </si>
  <si>
    <t>ROI 1</t>
  </si>
  <si>
    <t>mmHg</t>
  </si>
  <si>
    <t>DICOM File Name</t>
  </si>
  <si>
    <t>Excel File Source Name</t>
  </si>
  <si>
    <t>IM0001</t>
  </si>
  <si>
    <t>IM0002</t>
  </si>
  <si>
    <t>IM0003</t>
  </si>
  <si>
    <t>IM0004</t>
  </si>
  <si>
    <t>IM0005</t>
  </si>
  <si>
    <t>IM0006</t>
  </si>
  <si>
    <t>IM0007</t>
  </si>
  <si>
    <t>IM0008</t>
  </si>
  <si>
    <t>IM0009</t>
  </si>
  <si>
    <t>IM0010</t>
  </si>
  <si>
    <t>IM0011</t>
  </si>
  <si>
    <t>IM0012</t>
  </si>
  <si>
    <t>IM0013</t>
  </si>
  <si>
    <t>IM0014</t>
  </si>
  <si>
    <t>IM0015</t>
  </si>
  <si>
    <t>IM0016</t>
  </si>
  <si>
    <t>IM0017</t>
  </si>
  <si>
    <t>IM0018</t>
  </si>
  <si>
    <t>IM0019</t>
  </si>
  <si>
    <t>IM0020</t>
  </si>
  <si>
    <t>Row Labels</t>
  </si>
  <si>
    <t>Grand Total</t>
  </si>
  <si>
    <t>Sum of Average After Gain Adjustment</t>
  </si>
  <si>
    <t>Column Labels</t>
  </si>
  <si>
    <t>Mpa</t>
  </si>
  <si>
    <t>Atten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</si>
</sst>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numFmt numFmtId="2" formatCode="0.00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914260717410323E-2"/>
          <c:y val="0.15340751043115441"/>
          <c:w val="0.88397462817147854"/>
          <c:h val="0.72087033974716996"/>
        </c:manualLayout>
      </c:layout>
      <c:scatterChart>
        <c:scatterStyle val="lineMarker"/>
        <c:varyColors val="0"/>
        <c:ser>
          <c:idx val="1"/>
          <c:order val="0"/>
          <c:tx>
            <c:v>0 mmHg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High!$P$3:$Y$3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High!$P$4:$Y$4</c:f>
              <c:numCache>
                <c:formatCode>General</c:formatCode>
                <c:ptCount val="10"/>
                <c:pt idx="0">
                  <c:v>6.666666666666667</c:v>
                </c:pt>
                <c:pt idx="1">
                  <c:v>16.903333333333332</c:v>
                </c:pt>
                <c:pt idx="2">
                  <c:v>23.358333333333334</c:v>
                </c:pt>
                <c:pt idx="3">
                  <c:v>24.302</c:v>
                </c:pt>
                <c:pt idx="4">
                  <c:v>24.735999999999997</c:v>
                </c:pt>
                <c:pt idx="5">
                  <c:v>28.77</c:v>
                </c:pt>
                <c:pt idx="6">
                  <c:v>37.86</c:v>
                </c:pt>
                <c:pt idx="7">
                  <c:v>42.963999999999999</c:v>
                </c:pt>
                <c:pt idx="8">
                  <c:v>45.822000000000003</c:v>
                </c:pt>
                <c:pt idx="9">
                  <c:v>47.499999999999993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6C-4EC4-9E6D-1D75AA107361}"/>
            </c:ext>
          </c:extLst>
        </c:ser>
        <c:ser>
          <c:idx val="0"/>
          <c:order val="1"/>
          <c:tx>
            <c:v>20 mmHg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High!$P$3:$Y$3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High!$P$5:$Y$5</c:f>
              <c:numCache>
                <c:formatCode>General</c:formatCode>
                <c:ptCount val="10"/>
                <c:pt idx="0">
                  <c:v>10.305999999999999</c:v>
                </c:pt>
                <c:pt idx="1">
                  <c:v>22.709999999999997</c:v>
                </c:pt>
                <c:pt idx="2">
                  <c:v>27.486000000000001</c:v>
                </c:pt>
                <c:pt idx="3">
                  <c:v>27.936</c:v>
                </c:pt>
                <c:pt idx="4">
                  <c:v>#N/A</c:v>
                </c:pt>
                <c:pt idx="5">
                  <c:v>29.634</c:v>
                </c:pt>
                <c:pt idx="6">
                  <c:v>#N/A</c:v>
                </c:pt>
                <c:pt idx="7">
                  <c:v>41.837999999999994</c:v>
                </c:pt>
                <c:pt idx="8">
                  <c:v>45.316666666666663</c:v>
                </c:pt>
                <c:pt idx="9">
                  <c:v>46.970000000000006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6C-4EC4-9E6D-1D75AA107361}"/>
            </c:ext>
          </c:extLst>
        </c:ser>
        <c:ser>
          <c:idx val="2"/>
          <c:order val="2"/>
          <c:tx>
            <c:v>40 mmHg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High!$P$3:$Y$3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High!$P$6:$Y$6</c:f>
              <c:numCache>
                <c:formatCode>General</c:formatCode>
                <c:ptCount val="10"/>
                <c:pt idx="0">
                  <c:v>15.806666666666665</c:v>
                </c:pt>
                <c:pt idx="1">
                  <c:v>26.853333333333335</c:v>
                </c:pt>
                <c:pt idx="2">
                  <c:v>30.384999999999994</c:v>
                </c:pt>
                <c:pt idx="3">
                  <c:v>30.721666666666668</c:v>
                </c:pt>
                <c:pt idx="4">
                  <c:v>30.328333333333333</c:v>
                </c:pt>
                <c:pt idx="5">
                  <c:v>31.25</c:v>
                </c:pt>
                <c:pt idx="6">
                  <c:v>36.408000000000001</c:v>
                </c:pt>
                <c:pt idx="7">
                  <c:v>41.343333333333334</c:v>
                </c:pt>
                <c:pt idx="8">
                  <c:v>45.036000000000001</c:v>
                </c:pt>
                <c:pt idx="9">
                  <c:v>47.134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6C-4EC4-9E6D-1D75AA107361}"/>
            </c:ext>
          </c:extLst>
        </c:ser>
        <c:ser>
          <c:idx val="3"/>
          <c:order val="3"/>
          <c:tx>
            <c:v>60 mmHg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High!$P$3:$Y$3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High!$P$7:$Y$7</c:f>
              <c:numCache>
                <c:formatCode>General</c:formatCode>
                <c:ptCount val="10"/>
                <c:pt idx="0">
                  <c:v>22.6</c:v>
                </c:pt>
                <c:pt idx="1">
                  <c:v>29.526</c:v>
                </c:pt>
                <c:pt idx="2">
                  <c:v>33.24</c:v>
                </c:pt>
                <c:pt idx="3">
                  <c:v>32.768000000000001</c:v>
                </c:pt>
                <c:pt idx="4">
                  <c:v>32.435999999999993</c:v>
                </c:pt>
                <c:pt idx="5">
                  <c:v>32.463999999999999</c:v>
                </c:pt>
                <c:pt idx="6">
                  <c:v>36.736000000000004</c:v>
                </c:pt>
                <c:pt idx="7">
                  <c:v>42.468333333333334</c:v>
                </c:pt>
                <c:pt idx="8">
                  <c:v>45.667999999999999</c:v>
                </c:pt>
                <c:pt idx="9">
                  <c:v>47.44166666666667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6C-4EC4-9E6D-1D75AA107361}"/>
            </c:ext>
          </c:extLst>
        </c:ser>
        <c:ser>
          <c:idx val="4"/>
          <c:order val="4"/>
          <c:tx>
            <c:v>80 mmHg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High!$P$3:$Y$3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High!$P$8:$Y$8</c:f>
              <c:numCache>
                <c:formatCode>General</c:formatCode>
                <c:ptCount val="10"/>
                <c:pt idx="0">
                  <c:v>21.630000000000003</c:v>
                </c:pt>
                <c:pt idx="1">
                  <c:v>28.681666666666668</c:v>
                </c:pt>
                <c:pt idx="2">
                  <c:v>32.454999999999998</c:v>
                </c:pt>
                <c:pt idx="3">
                  <c:v>31.757999999999999</c:v>
                </c:pt>
                <c:pt idx="4">
                  <c:v>31.14</c:v>
                </c:pt>
                <c:pt idx="5">
                  <c:v>31.248333333333335</c:v>
                </c:pt>
                <c:pt idx="6">
                  <c:v>35.924999999999997</c:v>
                </c:pt>
                <c:pt idx="7">
                  <c:v>41.68666666666666</c:v>
                </c:pt>
                <c:pt idx="8">
                  <c:v>45.38666666666667</c:v>
                </c:pt>
                <c:pt idx="9">
                  <c:v>47.661666666666669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6C-4EC4-9E6D-1D75AA107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904463"/>
        <c:axId val="1989902543"/>
      </c:scatterChart>
      <c:valAx>
        <c:axId val="198990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02543"/>
        <c:crosses val="autoZero"/>
        <c:crossBetween val="midCat"/>
      </c:valAx>
      <c:valAx>
        <c:axId val="198990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0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Concentration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5"/>
          <c:tx>
            <c:strRef>
              <c:f>Summary!$V$26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Summary!$C$4:$L$4</c:f>
              <c:numCache>
                <c:formatCode>General</c:formatCode>
                <c:ptCount val="10"/>
                <c:pt idx="0">
                  <c:v>3.3899999999999997</c:v>
                </c:pt>
                <c:pt idx="1">
                  <c:v>7.347999999999999</c:v>
                </c:pt>
                <c:pt idx="2">
                  <c:v>14.668000000000001</c:v>
                </c:pt>
                <c:pt idx="3">
                  <c:v>16.791999999999998</c:v>
                </c:pt>
                <c:pt idx="4">
                  <c:v>18.149999999999999</c:v>
                </c:pt>
                <c:pt idx="5">
                  <c:v>22.728000000000002</c:v>
                </c:pt>
                <c:pt idx="6">
                  <c:v>30.892000000000003</c:v>
                </c:pt>
                <c:pt idx="7">
                  <c:v>35.676000000000002</c:v>
                </c:pt>
                <c:pt idx="8">
                  <c:v>36.595999999999997</c:v>
                </c:pt>
                <c:pt idx="9">
                  <c:v>40.410000000000004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28-441A-B782-750D53C17C01}"/>
            </c:ext>
          </c:extLst>
        </c:ser>
        <c:ser>
          <c:idx val="1"/>
          <c:order val="6"/>
          <c:tx>
            <c:strRef>
              <c:f>Summary!$V$27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Summary!$C$5:$L$5</c:f>
              <c:numCache>
                <c:formatCode>General</c:formatCode>
                <c:ptCount val="10"/>
                <c:pt idx="0">
                  <c:v>4.875</c:v>
                </c:pt>
                <c:pt idx="1">
                  <c:v>13.368333333333331</c:v>
                </c:pt>
                <c:pt idx="2">
                  <c:v>20.203333333333337</c:v>
                </c:pt>
                <c:pt idx="3">
                  <c:v>21.176666666666666</c:v>
                </c:pt>
                <c:pt idx="4">
                  <c:v>22.083333333333332</c:v>
                </c:pt>
                <c:pt idx="5">
                  <c:v>22.681666666666665</c:v>
                </c:pt>
                <c:pt idx="6">
                  <c:v>28.031666666666666</c:v>
                </c:pt>
                <c:pt idx="7">
                  <c:v>33.37166666666667</c:v>
                </c:pt>
                <c:pt idx="8">
                  <c:v>36.596666666666664</c:v>
                </c:pt>
                <c:pt idx="9">
                  <c:v>40.076666666666668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28-441A-B782-750D53C17C01}"/>
            </c:ext>
          </c:extLst>
        </c:ser>
        <c:ser>
          <c:idx val="2"/>
          <c:order val="7"/>
          <c:tx>
            <c:strRef>
              <c:f>Summary!$V$28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Summary!$C$6:$L$6</c:f>
              <c:numCache>
                <c:formatCode>General</c:formatCode>
                <c:ptCount val="10"/>
                <c:pt idx="0">
                  <c:v>8.2900000000000009</c:v>
                </c:pt>
                <c:pt idx="1">
                  <c:v>20.506666666666664</c:v>
                </c:pt>
                <c:pt idx="2">
                  <c:v>25.59</c:v>
                </c:pt>
                <c:pt idx="3">
                  <c:v>26.320000000000004</c:v>
                </c:pt>
                <c:pt idx="4">
                  <c:v>26.106000000000002</c:v>
                </c:pt>
                <c:pt idx="5">
                  <c:v>25.21</c:v>
                </c:pt>
                <c:pt idx="6">
                  <c:v>27.364000000000001</c:v>
                </c:pt>
                <c:pt idx="7">
                  <c:v>33.061999999999998</c:v>
                </c:pt>
                <c:pt idx="8">
                  <c:v>37.683999999999997</c:v>
                </c:pt>
                <c:pt idx="9">
                  <c:v>38.256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28-441A-B782-750D53C17C01}"/>
            </c:ext>
          </c:extLst>
        </c:ser>
        <c:ser>
          <c:idx val="3"/>
          <c:order val="8"/>
          <c:tx>
            <c:strRef>
              <c:f>Summary!$V$29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Summary!$C$7:$L$7</c:f>
              <c:numCache>
                <c:formatCode>General</c:formatCode>
                <c:ptCount val="10"/>
                <c:pt idx="0">
                  <c:v>13.946000000000002</c:v>
                </c:pt>
                <c:pt idx="1">
                  <c:v>22.84</c:v>
                </c:pt>
                <c:pt idx="2">
                  <c:v>26.990000000000002</c:v>
                </c:pt>
                <c:pt idx="3">
                  <c:v>26.657999999999998</c:v>
                </c:pt>
                <c:pt idx="4">
                  <c:v>26.486000000000001</c:v>
                </c:pt>
                <c:pt idx="5">
                  <c:v>26.496000000000002</c:v>
                </c:pt>
                <c:pt idx="6">
                  <c:v>28.360000000000003</c:v>
                </c:pt>
                <c:pt idx="7">
                  <c:v>33.064</c:v>
                </c:pt>
                <c:pt idx="8">
                  <c:v>36.935000000000002</c:v>
                </c:pt>
                <c:pt idx="9">
                  <c:v>39.448333333333338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528-441A-B782-750D53C17C01}"/>
            </c:ext>
          </c:extLst>
        </c:ser>
        <c:ser>
          <c:idx val="4"/>
          <c:order val="9"/>
          <c:tx>
            <c:strRef>
              <c:f>Summary!$V$30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Summary!$C$8:$L$8</c:f>
              <c:numCache>
                <c:formatCode>General</c:formatCode>
                <c:ptCount val="10"/>
                <c:pt idx="0">
                  <c:v>10.491666666666667</c:v>
                </c:pt>
                <c:pt idx="1">
                  <c:v>17.18</c:v>
                </c:pt>
                <c:pt idx="2">
                  <c:v>23.862000000000002</c:v>
                </c:pt>
                <c:pt idx="3">
                  <c:v>22.346666666666664</c:v>
                </c:pt>
                <c:pt idx="4">
                  <c:v>24.762</c:v>
                </c:pt>
                <c:pt idx="5">
                  <c:v>24.173333333333332</c:v>
                </c:pt>
                <c:pt idx="6">
                  <c:v>26.756666666666668</c:v>
                </c:pt>
                <c:pt idx="7">
                  <c:v>31.093333333333334</c:v>
                </c:pt>
                <c:pt idx="8">
                  <c:v>34.543333333333337</c:v>
                </c:pt>
                <c:pt idx="9">
                  <c:v>35.948333333333338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528-441A-B782-750D53C17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234848"/>
        <c:axId val="154423628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Summary!$V$26</c15:sqref>
                        </c15:formulaRef>
                      </c:ext>
                    </c:extLst>
                    <c:strCache>
                      <c:ptCount val="1"/>
                      <c:pt idx="0">
                        <c:v>0 mmHg</c:v>
                      </c:pt>
                    </c:strCache>
                  </c:strRef>
                </c:tx>
                <c:xVal>
                  <c:numRef>
                    <c:extLst>
                      <c:ext uri="{02D57815-91ED-43cb-92C2-25804820EDAC}">
                        <c15:formulaRef>
                          <c15:sqref>Summary!$C$3:$L$3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73</c:v>
                      </c:pt>
                      <c:pt idx="1">
                        <c:v>120</c:v>
                      </c:pt>
                      <c:pt idx="2">
                        <c:v>164</c:v>
                      </c:pt>
                      <c:pt idx="3">
                        <c:v>256</c:v>
                      </c:pt>
                      <c:pt idx="4">
                        <c:v>353</c:v>
                      </c:pt>
                      <c:pt idx="5">
                        <c:v>427</c:v>
                      </c:pt>
                      <c:pt idx="6">
                        <c:v>522</c:v>
                      </c:pt>
                      <c:pt idx="7">
                        <c:v>586</c:v>
                      </c:pt>
                      <c:pt idx="8">
                        <c:v>638</c:v>
                      </c:pt>
                      <c:pt idx="9">
                        <c:v>705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Summary!$C$4:$L$4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3.3899999999999997</c:v>
                      </c:pt>
                      <c:pt idx="1">
                        <c:v>7.347999999999999</c:v>
                      </c:pt>
                      <c:pt idx="2">
                        <c:v>14.668000000000001</c:v>
                      </c:pt>
                      <c:pt idx="3">
                        <c:v>16.791999999999998</c:v>
                      </c:pt>
                      <c:pt idx="4">
                        <c:v>18.149999999999999</c:v>
                      </c:pt>
                      <c:pt idx="5">
                        <c:v>22.728000000000002</c:v>
                      </c:pt>
                      <c:pt idx="6">
                        <c:v>30.892000000000003</c:v>
                      </c:pt>
                      <c:pt idx="7">
                        <c:v>35.676000000000002</c:v>
                      </c:pt>
                      <c:pt idx="8">
                        <c:v>36.595999999999997</c:v>
                      </c:pt>
                      <c:pt idx="9">
                        <c:v>40.410000000000004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1528-441A-B782-750D53C17C01}"/>
                  </c:ext>
                </c:extLst>
              </c15:ser>
            </c15:filteredScatterSeries>
            <c15:filteredScatter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Summary!$V$27</c15:sqref>
                        </c15:formulaRef>
                      </c:ext>
                    </c:extLst>
                    <c:strCache>
                      <c:ptCount val="1"/>
                      <c:pt idx="0">
                        <c:v>20 mmHg</c:v>
                      </c:pt>
                    </c:strCache>
                  </c:strRef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Summary!$C$3:$L$3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73</c:v>
                      </c:pt>
                      <c:pt idx="1">
                        <c:v>120</c:v>
                      </c:pt>
                      <c:pt idx="2">
                        <c:v>164</c:v>
                      </c:pt>
                      <c:pt idx="3">
                        <c:v>256</c:v>
                      </c:pt>
                      <c:pt idx="4">
                        <c:v>353</c:v>
                      </c:pt>
                      <c:pt idx="5">
                        <c:v>427</c:v>
                      </c:pt>
                      <c:pt idx="6">
                        <c:v>522</c:v>
                      </c:pt>
                      <c:pt idx="7">
                        <c:v>586</c:v>
                      </c:pt>
                      <c:pt idx="8">
                        <c:v>638</c:v>
                      </c:pt>
                      <c:pt idx="9">
                        <c:v>705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Summary!$C$5:$L$5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4.875</c:v>
                      </c:pt>
                      <c:pt idx="1">
                        <c:v>13.368333333333331</c:v>
                      </c:pt>
                      <c:pt idx="2">
                        <c:v>20.203333333333337</c:v>
                      </c:pt>
                      <c:pt idx="3">
                        <c:v>21.176666666666666</c:v>
                      </c:pt>
                      <c:pt idx="4">
                        <c:v>22.083333333333332</c:v>
                      </c:pt>
                      <c:pt idx="5">
                        <c:v>22.681666666666665</c:v>
                      </c:pt>
                      <c:pt idx="6">
                        <c:v>28.031666666666666</c:v>
                      </c:pt>
                      <c:pt idx="7">
                        <c:v>33.37166666666667</c:v>
                      </c:pt>
                      <c:pt idx="8">
                        <c:v>36.596666666666664</c:v>
                      </c:pt>
                      <c:pt idx="9">
                        <c:v>40.076666666666668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528-441A-B782-750D53C17C01}"/>
                  </c:ext>
                </c:extLst>
              </c15:ser>
            </c15:filteredScatterSeries>
            <c15:filteredScatterSeries>
              <c15:ser>
                <c:idx val="7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Summary!$V$28</c15:sqref>
                        </c15:formulaRef>
                      </c:ext>
                    </c:extLst>
                    <c:strCache>
                      <c:ptCount val="1"/>
                      <c:pt idx="0">
                        <c:v>40 mmHg</c:v>
                      </c:pt>
                    </c:strCache>
                  </c:strRef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Summary!$C$3:$L$3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73</c:v>
                      </c:pt>
                      <c:pt idx="1">
                        <c:v>120</c:v>
                      </c:pt>
                      <c:pt idx="2">
                        <c:v>164</c:v>
                      </c:pt>
                      <c:pt idx="3">
                        <c:v>256</c:v>
                      </c:pt>
                      <c:pt idx="4">
                        <c:v>353</c:v>
                      </c:pt>
                      <c:pt idx="5">
                        <c:v>427</c:v>
                      </c:pt>
                      <c:pt idx="6">
                        <c:v>522</c:v>
                      </c:pt>
                      <c:pt idx="7">
                        <c:v>586</c:v>
                      </c:pt>
                      <c:pt idx="8">
                        <c:v>638</c:v>
                      </c:pt>
                      <c:pt idx="9">
                        <c:v>705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Summary!$C$6:$L$6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8.2900000000000009</c:v>
                      </c:pt>
                      <c:pt idx="1">
                        <c:v>20.506666666666664</c:v>
                      </c:pt>
                      <c:pt idx="2">
                        <c:v>25.59</c:v>
                      </c:pt>
                      <c:pt idx="3">
                        <c:v>26.320000000000004</c:v>
                      </c:pt>
                      <c:pt idx="4">
                        <c:v>26.106000000000002</c:v>
                      </c:pt>
                      <c:pt idx="5">
                        <c:v>25.21</c:v>
                      </c:pt>
                      <c:pt idx="6">
                        <c:v>27.364000000000001</c:v>
                      </c:pt>
                      <c:pt idx="7">
                        <c:v>33.061999999999998</c:v>
                      </c:pt>
                      <c:pt idx="8">
                        <c:v>37.683999999999997</c:v>
                      </c:pt>
                      <c:pt idx="9">
                        <c:v>38.256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528-441A-B782-750D53C17C01}"/>
                  </c:ext>
                </c:extLst>
              </c15:ser>
            </c15:filteredScatterSeries>
            <c15:filteredScatterSeries>
              <c15:ser>
                <c:idx val="8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Summary!$V$29</c15:sqref>
                        </c15:formulaRef>
                      </c:ext>
                    </c:extLst>
                    <c:strCache>
                      <c:ptCount val="1"/>
                      <c:pt idx="0">
                        <c:v>60 mmHg</c:v>
                      </c:pt>
                    </c:strCache>
                  </c:strRef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Summary!$C$3:$L$3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73</c:v>
                      </c:pt>
                      <c:pt idx="1">
                        <c:v>120</c:v>
                      </c:pt>
                      <c:pt idx="2">
                        <c:v>164</c:v>
                      </c:pt>
                      <c:pt idx="3">
                        <c:v>256</c:v>
                      </c:pt>
                      <c:pt idx="4">
                        <c:v>353</c:v>
                      </c:pt>
                      <c:pt idx="5">
                        <c:v>427</c:v>
                      </c:pt>
                      <c:pt idx="6">
                        <c:v>522</c:v>
                      </c:pt>
                      <c:pt idx="7">
                        <c:v>586</c:v>
                      </c:pt>
                      <c:pt idx="8">
                        <c:v>638</c:v>
                      </c:pt>
                      <c:pt idx="9">
                        <c:v>705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Summary!$C$7:$L$7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13.946000000000002</c:v>
                      </c:pt>
                      <c:pt idx="1">
                        <c:v>22.84</c:v>
                      </c:pt>
                      <c:pt idx="2">
                        <c:v>26.990000000000002</c:v>
                      </c:pt>
                      <c:pt idx="3">
                        <c:v>26.657999999999998</c:v>
                      </c:pt>
                      <c:pt idx="4">
                        <c:v>26.486000000000001</c:v>
                      </c:pt>
                      <c:pt idx="5">
                        <c:v>26.496000000000002</c:v>
                      </c:pt>
                      <c:pt idx="6">
                        <c:v>28.360000000000003</c:v>
                      </c:pt>
                      <c:pt idx="7">
                        <c:v>33.064</c:v>
                      </c:pt>
                      <c:pt idx="8">
                        <c:v>36.935000000000002</c:v>
                      </c:pt>
                      <c:pt idx="9">
                        <c:v>39.448333333333338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528-441A-B782-750D53C17C01}"/>
                  </c:ext>
                </c:extLst>
              </c15:ser>
            </c15:filteredScatterSeries>
            <c15:filteredScatterSeries>
              <c15:ser>
                <c:idx val="9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Summary!$V$30</c15:sqref>
                        </c15:formulaRef>
                      </c:ext>
                    </c:extLst>
                    <c:strCache>
                      <c:ptCount val="1"/>
                      <c:pt idx="0">
                        <c:v>80 mmHg</c:v>
                      </c:pt>
                    </c:strCache>
                  </c:strRef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Summary!$C$3:$L$3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73</c:v>
                      </c:pt>
                      <c:pt idx="1">
                        <c:v>120</c:v>
                      </c:pt>
                      <c:pt idx="2">
                        <c:v>164</c:v>
                      </c:pt>
                      <c:pt idx="3">
                        <c:v>256</c:v>
                      </c:pt>
                      <c:pt idx="4">
                        <c:v>353</c:v>
                      </c:pt>
                      <c:pt idx="5">
                        <c:v>427</c:v>
                      </c:pt>
                      <c:pt idx="6">
                        <c:v>522</c:v>
                      </c:pt>
                      <c:pt idx="7">
                        <c:v>586</c:v>
                      </c:pt>
                      <c:pt idx="8">
                        <c:v>638</c:v>
                      </c:pt>
                      <c:pt idx="9">
                        <c:v>705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Summary!$C$8:$L$8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10.491666666666667</c:v>
                      </c:pt>
                      <c:pt idx="1">
                        <c:v>17.18</c:v>
                      </c:pt>
                      <c:pt idx="2">
                        <c:v>23.862000000000002</c:v>
                      </c:pt>
                      <c:pt idx="3">
                        <c:v>22.346666666666664</c:v>
                      </c:pt>
                      <c:pt idx="4">
                        <c:v>24.762</c:v>
                      </c:pt>
                      <c:pt idx="5">
                        <c:v>24.173333333333332</c:v>
                      </c:pt>
                      <c:pt idx="6">
                        <c:v>26.756666666666668</c:v>
                      </c:pt>
                      <c:pt idx="7">
                        <c:v>31.093333333333334</c:v>
                      </c:pt>
                      <c:pt idx="8">
                        <c:v>34.543333333333337</c:v>
                      </c:pt>
                      <c:pt idx="9">
                        <c:v>35.948333333333338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528-441A-B782-750D53C17C01}"/>
                  </c:ext>
                </c:extLst>
              </c15:ser>
            </c15:filteredScatterSeries>
          </c:ext>
        </c:extLst>
      </c:scatterChart>
      <c:valAx>
        <c:axId val="154423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36288"/>
        <c:crosses val="autoZero"/>
        <c:crossBetween val="midCat"/>
      </c:valAx>
      <c:valAx>
        <c:axId val="1544236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348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/>
  </c:chart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Summary!$V$26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Summary!$C$12:$L$12</c:f>
              <c:numCache>
                <c:formatCode>General</c:formatCode>
                <c:ptCount val="10"/>
                <c:pt idx="0">
                  <c:v>2.7762500000000001</c:v>
                </c:pt>
                <c:pt idx="1">
                  <c:v>11.529999999999998</c:v>
                </c:pt>
                <c:pt idx="2">
                  <c:v>18.661666666666665</c:v>
                </c:pt>
                <c:pt idx="3">
                  <c:v>19.743333333333336</c:v>
                </c:pt>
                <c:pt idx="4">
                  <c:v>21.95</c:v>
                </c:pt>
                <c:pt idx="5">
                  <c:v>25.98</c:v>
                </c:pt>
                <c:pt idx="6">
                  <c:v>34.768333333333331</c:v>
                </c:pt>
                <c:pt idx="7">
                  <c:v>39.275000000000006</c:v>
                </c:pt>
                <c:pt idx="8">
                  <c:v>43.404999999999994</c:v>
                </c:pt>
                <c:pt idx="9">
                  <c:v>44.932000000000002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58-402A-9449-2F14B93FCEB4}"/>
            </c:ext>
          </c:extLst>
        </c:ser>
        <c:ser>
          <c:idx val="1"/>
          <c:order val="1"/>
          <c:tx>
            <c:strRef>
              <c:f>Summary!$V$27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Summary!$C$13:$L$13</c:f>
              <c:numCache>
                <c:formatCode>General</c:formatCode>
                <c:ptCount val="10"/>
                <c:pt idx="0">
                  <c:v>4.121666666666667</c:v>
                </c:pt>
                <c:pt idx="1">
                  <c:v>14.508333333333335</c:v>
                </c:pt>
                <c:pt idx="2">
                  <c:v>22.492000000000001</c:v>
                </c:pt>
                <c:pt idx="3">
                  <c:v>23.084000000000003</c:v>
                </c:pt>
                <c:pt idx="4">
                  <c:v>24.066666666666666</c:v>
                </c:pt>
                <c:pt idx="5">
                  <c:v>26.77</c:v>
                </c:pt>
                <c:pt idx="6">
                  <c:v>34.386000000000003</c:v>
                </c:pt>
                <c:pt idx="7">
                  <c:v>40.311999999999998</c:v>
                </c:pt>
                <c:pt idx="8">
                  <c:v>43.713999999999999</c:v>
                </c:pt>
                <c:pt idx="9">
                  <c:v>45.608333333333327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58-402A-9449-2F14B93FCEB4}"/>
            </c:ext>
          </c:extLst>
        </c:ser>
        <c:ser>
          <c:idx val="2"/>
          <c:order val="2"/>
          <c:tx>
            <c:strRef>
              <c:f>Summary!$V$28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Summary!$C$14:$L$14</c:f>
              <c:numCache>
                <c:formatCode>General</c:formatCode>
                <c:ptCount val="10"/>
                <c:pt idx="0">
                  <c:v>12.225999999999999</c:v>
                </c:pt>
                <c:pt idx="1">
                  <c:v>24.156666666666666</c:v>
                </c:pt>
                <c:pt idx="2">
                  <c:v>28.32</c:v>
                </c:pt>
                <c:pt idx="3">
                  <c:v>27.940000000000005</c:v>
                </c:pt>
                <c:pt idx="4">
                  <c:v>27.704999999999998</c:v>
                </c:pt>
                <c:pt idx="5">
                  <c:v>28.964000000000002</c:v>
                </c:pt>
                <c:pt idx="6">
                  <c:v>33.084999999999994</c:v>
                </c:pt>
                <c:pt idx="7">
                  <c:v>39.366666666666674</c:v>
                </c:pt>
                <c:pt idx="8">
                  <c:v>42.823333333333331</c:v>
                </c:pt>
                <c:pt idx="9">
                  <c:v>44.220000000000006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58-402A-9449-2F14B93FCEB4}"/>
            </c:ext>
          </c:extLst>
        </c:ser>
        <c:ser>
          <c:idx val="3"/>
          <c:order val="3"/>
          <c:tx>
            <c:strRef>
              <c:f>Summary!$V$29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Summary!$C$15:$L$15</c:f>
              <c:numCache>
                <c:formatCode>General</c:formatCode>
                <c:ptCount val="10"/>
                <c:pt idx="0">
                  <c:v>17.95</c:v>
                </c:pt>
                <c:pt idx="1">
                  <c:v>26.498000000000001</c:v>
                </c:pt>
                <c:pt idx="2">
                  <c:v>30.515000000000001</c:v>
                </c:pt>
                <c:pt idx="3">
                  <c:v>30.078333333333337</c:v>
                </c:pt>
                <c:pt idx="4">
                  <c:v>30.266666666666666</c:v>
                </c:pt>
                <c:pt idx="5">
                  <c:v>30.41</c:v>
                </c:pt>
                <c:pt idx="6">
                  <c:v>34.508333333333326</c:v>
                </c:pt>
                <c:pt idx="7">
                  <c:v>39.533333333333331</c:v>
                </c:pt>
                <c:pt idx="8">
                  <c:v>#N/A</c:v>
                </c:pt>
                <c:pt idx="9">
                  <c:v>44.545000000000002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58-402A-9449-2F14B93FCEB4}"/>
            </c:ext>
          </c:extLst>
        </c:ser>
        <c:ser>
          <c:idx val="4"/>
          <c:order val="4"/>
          <c:tx>
            <c:strRef>
              <c:f>Summary!$V$30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Summary!$C$16:$L$16</c:f>
              <c:numCache>
                <c:formatCode>General</c:formatCode>
                <c:ptCount val="10"/>
                <c:pt idx="0">
                  <c:v>19.115999999999996</c:v>
                </c:pt>
                <c:pt idx="1">
                  <c:v>26.770000000000003</c:v>
                </c:pt>
                <c:pt idx="2">
                  <c:v>29.930000000000003</c:v>
                </c:pt>
                <c:pt idx="3">
                  <c:v>29.650000000000002</c:v>
                </c:pt>
                <c:pt idx="4">
                  <c:v>29.426666666666666</c:v>
                </c:pt>
                <c:pt idx="5">
                  <c:v>29.408333333333331</c:v>
                </c:pt>
                <c:pt idx="6">
                  <c:v>33.683999999999997</c:v>
                </c:pt>
                <c:pt idx="7">
                  <c:v>39.606666666666669</c:v>
                </c:pt>
                <c:pt idx="8">
                  <c:v>42.82</c:v>
                </c:pt>
                <c:pt idx="9">
                  <c:v>45.361666666666672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58-402A-9449-2F14B93FC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063504"/>
        <c:axId val="1402064464"/>
      </c:scatterChart>
      <c:valAx>
        <c:axId val="140206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64464"/>
        <c:crosses val="autoZero"/>
        <c:crossBetween val="midCat"/>
      </c:valAx>
      <c:valAx>
        <c:axId val="140206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63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Summary!$V$26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Summary!$C$20:$L$20</c:f>
              <c:numCache>
                <c:formatCode>General</c:formatCode>
                <c:ptCount val="10"/>
                <c:pt idx="0">
                  <c:v>6.666666666666667</c:v>
                </c:pt>
                <c:pt idx="1">
                  <c:v>16.903333333333332</c:v>
                </c:pt>
                <c:pt idx="2">
                  <c:v>23.358333333333334</c:v>
                </c:pt>
                <c:pt idx="3">
                  <c:v>24.302</c:v>
                </c:pt>
                <c:pt idx="4">
                  <c:v>24.735999999999997</c:v>
                </c:pt>
                <c:pt idx="5">
                  <c:v>28.77</c:v>
                </c:pt>
                <c:pt idx="6">
                  <c:v>37.86</c:v>
                </c:pt>
                <c:pt idx="7">
                  <c:v>42.963999999999999</c:v>
                </c:pt>
                <c:pt idx="8">
                  <c:v>45.822000000000003</c:v>
                </c:pt>
                <c:pt idx="9">
                  <c:v>47.499999999999993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2B-4628-81D9-F956000788EC}"/>
            </c:ext>
          </c:extLst>
        </c:ser>
        <c:ser>
          <c:idx val="1"/>
          <c:order val="1"/>
          <c:tx>
            <c:strRef>
              <c:f>Summary!$V$27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Summary!$C$21:$L$21</c:f>
              <c:numCache>
                <c:formatCode>General</c:formatCode>
                <c:ptCount val="10"/>
                <c:pt idx="0">
                  <c:v>10.305999999999999</c:v>
                </c:pt>
                <c:pt idx="1">
                  <c:v>22.709999999999997</c:v>
                </c:pt>
                <c:pt idx="2">
                  <c:v>27.486000000000001</c:v>
                </c:pt>
                <c:pt idx="3">
                  <c:v>27.936</c:v>
                </c:pt>
                <c:pt idx="4">
                  <c:v>#N/A</c:v>
                </c:pt>
                <c:pt idx="5">
                  <c:v>29.634</c:v>
                </c:pt>
                <c:pt idx="6">
                  <c:v>#N/A</c:v>
                </c:pt>
                <c:pt idx="7">
                  <c:v>41.837999999999994</c:v>
                </c:pt>
                <c:pt idx="8">
                  <c:v>45.316666666666663</c:v>
                </c:pt>
                <c:pt idx="9">
                  <c:v>46.970000000000006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2B-4628-81D9-F956000788EC}"/>
            </c:ext>
          </c:extLst>
        </c:ser>
        <c:ser>
          <c:idx val="2"/>
          <c:order val="2"/>
          <c:tx>
            <c:strRef>
              <c:f>Summary!$V$28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Summary!$C$22:$L$22</c:f>
              <c:numCache>
                <c:formatCode>General</c:formatCode>
                <c:ptCount val="10"/>
                <c:pt idx="0">
                  <c:v>15.806666666666665</c:v>
                </c:pt>
                <c:pt idx="1">
                  <c:v>26.853333333333335</c:v>
                </c:pt>
                <c:pt idx="2">
                  <c:v>30.384999999999994</c:v>
                </c:pt>
                <c:pt idx="3">
                  <c:v>30.721666666666668</c:v>
                </c:pt>
                <c:pt idx="4">
                  <c:v>30.328333333333333</c:v>
                </c:pt>
                <c:pt idx="5">
                  <c:v>31.25</c:v>
                </c:pt>
                <c:pt idx="6">
                  <c:v>36.408000000000001</c:v>
                </c:pt>
                <c:pt idx="7">
                  <c:v>41.343333333333334</c:v>
                </c:pt>
                <c:pt idx="8">
                  <c:v>45.036000000000001</c:v>
                </c:pt>
                <c:pt idx="9">
                  <c:v>47.134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2B-4628-81D9-F956000788EC}"/>
            </c:ext>
          </c:extLst>
        </c:ser>
        <c:ser>
          <c:idx val="3"/>
          <c:order val="3"/>
          <c:tx>
            <c:strRef>
              <c:f>Summary!$V$29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Summary!$C$23:$L$23</c:f>
              <c:numCache>
                <c:formatCode>General</c:formatCode>
                <c:ptCount val="10"/>
                <c:pt idx="0">
                  <c:v>22.6</c:v>
                </c:pt>
                <c:pt idx="1">
                  <c:v>29.526</c:v>
                </c:pt>
                <c:pt idx="2">
                  <c:v>33.24</c:v>
                </c:pt>
                <c:pt idx="3">
                  <c:v>32.768000000000001</c:v>
                </c:pt>
                <c:pt idx="4">
                  <c:v>32.435999999999993</c:v>
                </c:pt>
                <c:pt idx="5">
                  <c:v>32.463999999999999</c:v>
                </c:pt>
                <c:pt idx="6">
                  <c:v>36.736000000000004</c:v>
                </c:pt>
                <c:pt idx="7">
                  <c:v>42.468333333333334</c:v>
                </c:pt>
                <c:pt idx="8">
                  <c:v>45.667999999999999</c:v>
                </c:pt>
                <c:pt idx="9">
                  <c:v>47.44166666666667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2B-4628-81D9-F956000788EC}"/>
            </c:ext>
          </c:extLst>
        </c:ser>
        <c:ser>
          <c:idx val="4"/>
          <c:order val="4"/>
          <c:tx>
            <c:strRef>
              <c:f>Summary!$V$30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Summary!$C$24:$L$24</c:f>
              <c:numCache>
                <c:formatCode>General</c:formatCode>
                <c:ptCount val="10"/>
                <c:pt idx="0">
                  <c:v>21.630000000000003</c:v>
                </c:pt>
                <c:pt idx="1">
                  <c:v>28.681666666666668</c:v>
                </c:pt>
                <c:pt idx="2">
                  <c:v>32.454999999999998</c:v>
                </c:pt>
                <c:pt idx="3">
                  <c:v>31.757999999999999</c:v>
                </c:pt>
                <c:pt idx="4">
                  <c:v>31.14</c:v>
                </c:pt>
                <c:pt idx="5">
                  <c:v>31.248333333333335</c:v>
                </c:pt>
                <c:pt idx="6">
                  <c:v>35.924999999999997</c:v>
                </c:pt>
                <c:pt idx="7">
                  <c:v>41.68666666666666</c:v>
                </c:pt>
                <c:pt idx="8">
                  <c:v>45.38666666666667</c:v>
                </c:pt>
                <c:pt idx="9">
                  <c:v>47.661666666666669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2B-4628-81D9-F95600078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2064"/>
        <c:axId val="89122544"/>
      </c:scatterChart>
      <c:valAx>
        <c:axId val="89122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</a:t>
                </a:r>
                <a:r>
                  <a:rPr lang="en-US" baseline="0"/>
                  <a:t> Pressure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2544"/>
        <c:crosses val="autoZero"/>
        <c:crossBetween val="midCat"/>
      </c:valAx>
      <c:valAx>
        <c:axId val="89122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Summary!$U$26</c:f>
              <c:strCache>
                <c:ptCount val="1"/>
                <c:pt idx="0">
                  <c:v>73 kPa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Summary!$C$4:$C$8</c:f>
              <c:numCache>
                <c:formatCode>General</c:formatCode>
                <c:ptCount val="5"/>
                <c:pt idx="0">
                  <c:v>3.3899999999999997</c:v>
                </c:pt>
                <c:pt idx="1">
                  <c:v>4.875</c:v>
                </c:pt>
                <c:pt idx="2">
                  <c:v>8.2900000000000009</c:v>
                </c:pt>
                <c:pt idx="3">
                  <c:v>13.946000000000002</c:v>
                </c:pt>
                <c:pt idx="4">
                  <c:v>10.491666666666667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0-465F-A92F-E865A3FA1ED9}"/>
            </c:ext>
          </c:extLst>
        </c:ser>
        <c:ser>
          <c:idx val="1"/>
          <c:order val="1"/>
          <c:tx>
            <c:strRef>
              <c:f>Summary!$U$27</c:f>
              <c:strCache>
                <c:ptCount val="1"/>
                <c:pt idx="0">
                  <c:v>120 kPa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Summary!$D$4:$D$8</c:f>
              <c:numCache>
                <c:formatCode>General</c:formatCode>
                <c:ptCount val="5"/>
                <c:pt idx="0">
                  <c:v>7.347999999999999</c:v>
                </c:pt>
                <c:pt idx="1">
                  <c:v>13.368333333333331</c:v>
                </c:pt>
                <c:pt idx="2">
                  <c:v>20.506666666666664</c:v>
                </c:pt>
                <c:pt idx="3">
                  <c:v>22.84</c:v>
                </c:pt>
                <c:pt idx="4">
                  <c:v>17.18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30-465F-A92F-E865A3FA1ED9}"/>
            </c:ext>
          </c:extLst>
        </c:ser>
        <c:ser>
          <c:idx val="2"/>
          <c:order val="2"/>
          <c:tx>
            <c:strRef>
              <c:f>Summary!$U$28</c:f>
              <c:strCache>
                <c:ptCount val="1"/>
                <c:pt idx="0">
                  <c:v>164 kPa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Summary!$F$4:$F$8</c:f>
              <c:numCache>
                <c:formatCode>General</c:formatCode>
                <c:ptCount val="5"/>
                <c:pt idx="0">
                  <c:v>16.791999999999998</c:v>
                </c:pt>
                <c:pt idx="1">
                  <c:v>21.176666666666666</c:v>
                </c:pt>
                <c:pt idx="2">
                  <c:v>26.320000000000004</c:v>
                </c:pt>
                <c:pt idx="3">
                  <c:v>26.657999999999998</c:v>
                </c:pt>
                <c:pt idx="4">
                  <c:v>22.346666666666664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30-465F-A92F-E865A3FA1ED9}"/>
            </c:ext>
          </c:extLst>
        </c:ser>
        <c:ser>
          <c:idx val="3"/>
          <c:order val="3"/>
          <c:tx>
            <c:strRef>
              <c:f>Summary!$U$29</c:f>
              <c:strCache>
                <c:ptCount val="1"/>
                <c:pt idx="0">
                  <c:v>256 kPa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Summary!$F$4:$F$8</c:f>
              <c:numCache>
                <c:formatCode>General</c:formatCode>
                <c:ptCount val="5"/>
                <c:pt idx="0">
                  <c:v>16.791999999999998</c:v>
                </c:pt>
                <c:pt idx="1">
                  <c:v>21.176666666666666</c:v>
                </c:pt>
                <c:pt idx="2">
                  <c:v>26.320000000000004</c:v>
                </c:pt>
                <c:pt idx="3">
                  <c:v>26.657999999999998</c:v>
                </c:pt>
                <c:pt idx="4">
                  <c:v>22.346666666666664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30-465F-A92F-E865A3FA1ED9}"/>
            </c:ext>
          </c:extLst>
        </c:ser>
        <c:ser>
          <c:idx val="4"/>
          <c:order val="4"/>
          <c:tx>
            <c:strRef>
              <c:f>Summary!$U$30</c:f>
              <c:strCache>
                <c:ptCount val="1"/>
                <c:pt idx="0">
                  <c:v>353 kPa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Summary!$G$4:$G$8</c:f>
              <c:numCache>
                <c:formatCode>General</c:formatCode>
                <c:ptCount val="5"/>
                <c:pt idx="0">
                  <c:v>18.149999999999999</c:v>
                </c:pt>
                <c:pt idx="1">
                  <c:v>22.083333333333332</c:v>
                </c:pt>
                <c:pt idx="2">
                  <c:v>26.106000000000002</c:v>
                </c:pt>
                <c:pt idx="3">
                  <c:v>26.486000000000001</c:v>
                </c:pt>
                <c:pt idx="4">
                  <c:v>24.762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30-465F-A92F-E865A3FA1ED9}"/>
            </c:ext>
          </c:extLst>
        </c:ser>
        <c:ser>
          <c:idx val="5"/>
          <c:order val="5"/>
          <c:tx>
            <c:strRef>
              <c:f>Summary!$U$31</c:f>
              <c:strCache>
                <c:ptCount val="1"/>
                <c:pt idx="0">
                  <c:v>427 kPa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Summary!$H$4:$H$8</c:f>
              <c:numCache>
                <c:formatCode>General</c:formatCode>
                <c:ptCount val="5"/>
                <c:pt idx="0">
                  <c:v>22.728000000000002</c:v>
                </c:pt>
                <c:pt idx="1">
                  <c:v>22.681666666666665</c:v>
                </c:pt>
                <c:pt idx="2">
                  <c:v>25.21</c:v>
                </c:pt>
                <c:pt idx="3">
                  <c:v>26.496000000000002</c:v>
                </c:pt>
                <c:pt idx="4">
                  <c:v>24.173333333333332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30-465F-A92F-E865A3FA1ED9}"/>
            </c:ext>
          </c:extLst>
        </c:ser>
        <c:ser>
          <c:idx val="6"/>
          <c:order val="6"/>
          <c:tx>
            <c:strRef>
              <c:f>Summary!$U$32</c:f>
              <c:strCache>
                <c:ptCount val="1"/>
                <c:pt idx="0">
                  <c:v>522 kPa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Summary!$I$4:$I$8</c:f>
              <c:numCache>
                <c:formatCode>General</c:formatCode>
                <c:ptCount val="5"/>
                <c:pt idx="0">
                  <c:v>30.892000000000003</c:v>
                </c:pt>
                <c:pt idx="1">
                  <c:v>28.031666666666666</c:v>
                </c:pt>
                <c:pt idx="2">
                  <c:v>27.364000000000001</c:v>
                </c:pt>
                <c:pt idx="3">
                  <c:v>28.360000000000003</c:v>
                </c:pt>
                <c:pt idx="4">
                  <c:v>26.756666666666668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30-465F-A92F-E865A3FA1ED9}"/>
            </c:ext>
          </c:extLst>
        </c:ser>
        <c:ser>
          <c:idx val="7"/>
          <c:order val="7"/>
          <c:tx>
            <c:strRef>
              <c:f>Summary!$U$33</c:f>
              <c:strCache>
                <c:ptCount val="1"/>
                <c:pt idx="0">
                  <c:v>586 kPa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Summary!$J$4:$J$8</c:f>
              <c:numCache>
                <c:formatCode>General</c:formatCode>
                <c:ptCount val="5"/>
                <c:pt idx="0">
                  <c:v>35.676000000000002</c:v>
                </c:pt>
                <c:pt idx="1">
                  <c:v>33.37166666666667</c:v>
                </c:pt>
                <c:pt idx="2">
                  <c:v>33.061999999999998</c:v>
                </c:pt>
                <c:pt idx="3">
                  <c:v>33.064</c:v>
                </c:pt>
                <c:pt idx="4">
                  <c:v>31.093333333333334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30-465F-A92F-E865A3FA1ED9}"/>
            </c:ext>
          </c:extLst>
        </c:ser>
        <c:ser>
          <c:idx val="8"/>
          <c:order val="8"/>
          <c:tx>
            <c:strRef>
              <c:f>Summary!$U$34</c:f>
              <c:strCache>
                <c:ptCount val="1"/>
                <c:pt idx="0">
                  <c:v>638 kPa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Summary!$K$4:$K$8</c:f>
              <c:numCache>
                <c:formatCode>General</c:formatCode>
                <c:ptCount val="5"/>
                <c:pt idx="0">
                  <c:v>36.595999999999997</c:v>
                </c:pt>
                <c:pt idx="1">
                  <c:v>36.596666666666664</c:v>
                </c:pt>
                <c:pt idx="2">
                  <c:v>37.683999999999997</c:v>
                </c:pt>
                <c:pt idx="3">
                  <c:v>36.935000000000002</c:v>
                </c:pt>
                <c:pt idx="4">
                  <c:v>34.543333333333337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30-465F-A92F-E865A3FA1ED9}"/>
            </c:ext>
          </c:extLst>
        </c:ser>
        <c:ser>
          <c:idx val="9"/>
          <c:order val="9"/>
          <c:tx>
            <c:strRef>
              <c:f>Summary!$U$35</c:f>
              <c:strCache>
                <c:ptCount val="1"/>
                <c:pt idx="0">
                  <c:v>705 kPa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Summary!$L$4:$L$8</c:f>
              <c:numCache>
                <c:formatCode>General</c:formatCode>
                <c:ptCount val="5"/>
                <c:pt idx="0">
                  <c:v>40.410000000000004</c:v>
                </c:pt>
                <c:pt idx="1">
                  <c:v>40.076666666666668</c:v>
                </c:pt>
                <c:pt idx="2">
                  <c:v>38.256</c:v>
                </c:pt>
                <c:pt idx="3">
                  <c:v>39.448333333333338</c:v>
                </c:pt>
                <c:pt idx="4">
                  <c:v>35.948333333333338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30-465F-A92F-E865A3FA1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84816"/>
        <c:axId val="220489616"/>
      </c:scatterChart>
      <c:valAx>
        <c:axId val="220484816"/>
        <c:scaling>
          <c:orientation val="minMax"/>
          <c:max val="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89616"/>
        <c:crosses val="autoZero"/>
        <c:crossBetween val="midCat"/>
      </c:valAx>
      <c:valAx>
        <c:axId val="220489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 (dB re atm)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8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Summary!$U$26</c:f>
              <c:strCache>
                <c:ptCount val="1"/>
                <c:pt idx="0">
                  <c:v>73 kPa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Summary!$C$12:$C$16</c:f>
              <c:numCache>
                <c:formatCode>General</c:formatCode>
                <c:ptCount val="5"/>
                <c:pt idx="0">
                  <c:v>2.7762500000000001</c:v>
                </c:pt>
                <c:pt idx="1">
                  <c:v>4.121666666666667</c:v>
                </c:pt>
                <c:pt idx="2">
                  <c:v>12.225999999999999</c:v>
                </c:pt>
                <c:pt idx="3">
                  <c:v>17.95</c:v>
                </c:pt>
                <c:pt idx="4">
                  <c:v>19.115999999999996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6-4A74-8806-BCFCDA7E45BB}"/>
            </c:ext>
          </c:extLst>
        </c:ser>
        <c:ser>
          <c:idx val="1"/>
          <c:order val="1"/>
          <c:tx>
            <c:strRef>
              <c:f>Summary!$U$27</c:f>
              <c:strCache>
                <c:ptCount val="1"/>
                <c:pt idx="0">
                  <c:v>120 kPa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Summary!$D$12:$D$16</c:f>
              <c:numCache>
                <c:formatCode>General</c:formatCode>
                <c:ptCount val="5"/>
                <c:pt idx="0">
                  <c:v>11.529999999999998</c:v>
                </c:pt>
                <c:pt idx="1">
                  <c:v>14.508333333333335</c:v>
                </c:pt>
                <c:pt idx="2">
                  <c:v>24.156666666666666</c:v>
                </c:pt>
                <c:pt idx="3">
                  <c:v>26.498000000000001</c:v>
                </c:pt>
                <c:pt idx="4">
                  <c:v>26.770000000000003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66-4A74-8806-BCFCDA7E45BB}"/>
            </c:ext>
          </c:extLst>
        </c:ser>
        <c:ser>
          <c:idx val="2"/>
          <c:order val="2"/>
          <c:tx>
            <c:strRef>
              <c:f>Summary!$U$28</c:f>
              <c:strCache>
                <c:ptCount val="1"/>
                <c:pt idx="0">
                  <c:v>164 kPa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Summary!$E$12:$E$16</c:f>
              <c:numCache>
                <c:formatCode>General</c:formatCode>
                <c:ptCount val="5"/>
                <c:pt idx="0">
                  <c:v>18.661666666666665</c:v>
                </c:pt>
                <c:pt idx="1">
                  <c:v>22.492000000000001</c:v>
                </c:pt>
                <c:pt idx="2">
                  <c:v>28.32</c:v>
                </c:pt>
                <c:pt idx="3">
                  <c:v>30.515000000000001</c:v>
                </c:pt>
                <c:pt idx="4">
                  <c:v>29.930000000000003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66-4A74-8806-BCFCDA7E45BB}"/>
            </c:ext>
          </c:extLst>
        </c:ser>
        <c:ser>
          <c:idx val="3"/>
          <c:order val="3"/>
          <c:tx>
            <c:strRef>
              <c:f>Summary!$U$29</c:f>
              <c:strCache>
                <c:ptCount val="1"/>
                <c:pt idx="0">
                  <c:v>256 kPa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Summary!$F$12:$F$16</c:f>
              <c:numCache>
                <c:formatCode>General</c:formatCode>
                <c:ptCount val="5"/>
                <c:pt idx="0">
                  <c:v>19.743333333333336</c:v>
                </c:pt>
                <c:pt idx="1">
                  <c:v>23.084000000000003</c:v>
                </c:pt>
                <c:pt idx="2">
                  <c:v>27.940000000000005</c:v>
                </c:pt>
                <c:pt idx="3">
                  <c:v>30.078333333333337</c:v>
                </c:pt>
                <c:pt idx="4">
                  <c:v>29.650000000000002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66-4A74-8806-BCFCDA7E45BB}"/>
            </c:ext>
          </c:extLst>
        </c:ser>
        <c:ser>
          <c:idx val="4"/>
          <c:order val="4"/>
          <c:tx>
            <c:strRef>
              <c:f>Summary!$U$30</c:f>
              <c:strCache>
                <c:ptCount val="1"/>
                <c:pt idx="0">
                  <c:v>353 kPa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Summary!$G$12:$G$16</c:f>
              <c:numCache>
                <c:formatCode>General</c:formatCode>
                <c:ptCount val="5"/>
                <c:pt idx="0">
                  <c:v>21.95</c:v>
                </c:pt>
                <c:pt idx="1">
                  <c:v>24.066666666666666</c:v>
                </c:pt>
                <c:pt idx="2">
                  <c:v>27.704999999999998</c:v>
                </c:pt>
                <c:pt idx="3">
                  <c:v>30.266666666666666</c:v>
                </c:pt>
                <c:pt idx="4">
                  <c:v>29.426666666666666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66-4A74-8806-BCFCDA7E45BB}"/>
            </c:ext>
          </c:extLst>
        </c:ser>
        <c:ser>
          <c:idx val="5"/>
          <c:order val="5"/>
          <c:tx>
            <c:strRef>
              <c:f>Summary!$U$31</c:f>
              <c:strCache>
                <c:ptCount val="1"/>
                <c:pt idx="0">
                  <c:v>427 kPa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Summary!$H$12:$H$16</c:f>
              <c:numCache>
                <c:formatCode>General</c:formatCode>
                <c:ptCount val="5"/>
                <c:pt idx="0">
                  <c:v>25.98</c:v>
                </c:pt>
                <c:pt idx="1">
                  <c:v>26.77</c:v>
                </c:pt>
                <c:pt idx="2">
                  <c:v>28.964000000000002</c:v>
                </c:pt>
                <c:pt idx="3">
                  <c:v>30.41</c:v>
                </c:pt>
                <c:pt idx="4">
                  <c:v>29.408333333333331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66-4A74-8806-BCFCDA7E45BB}"/>
            </c:ext>
          </c:extLst>
        </c:ser>
        <c:ser>
          <c:idx val="6"/>
          <c:order val="6"/>
          <c:tx>
            <c:strRef>
              <c:f>Summary!$U$32</c:f>
              <c:strCache>
                <c:ptCount val="1"/>
                <c:pt idx="0">
                  <c:v>522 kPa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Summary!$I$12:$I$16</c:f>
              <c:numCache>
                <c:formatCode>General</c:formatCode>
                <c:ptCount val="5"/>
                <c:pt idx="0">
                  <c:v>34.768333333333331</c:v>
                </c:pt>
                <c:pt idx="1">
                  <c:v>34.386000000000003</c:v>
                </c:pt>
                <c:pt idx="2">
                  <c:v>33.084999999999994</c:v>
                </c:pt>
                <c:pt idx="3">
                  <c:v>34.508333333333326</c:v>
                </c:pt>
                <c:pt idx="4">
                  <c:v>33.683999999999997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66-4A74-8806-BCFCDA7E45BB}"/>
            </c:ext>
          </c:extLst>
        </c:ser>
        <c:ser>
          <c:idx val="7"/>
          <c:order val="7"/>
          <c:tx>
            <c:strRef>
              <c:f>Summary!$U$33</c:f>
              <c:strCache>
                <c:ptCount val="1"/>
                <c:pt idx="0">
                  <c:v>586 kPa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Summary!$J$12:$J$16</c:f>
              <c:numCache>
                <c:formatCode>General</c:formatCode>
                <c:ptCount val="5"/>
                <c:pt idx="0">
                  <c:v>39.275000000000006</c:v>
                </c:pt>
                <c:pt idx="1">
                  <c:v>40.311999999999998</c:v>
                </c:pt>
                <c:pt idx="2">
                  <c:v>39.366666666666674</c:v>
                </c:pt>
                <c:pt idx="3">
                  <c:v>39.533333333333331</c:v>
                </c:pt>
                <c:pt idx="4">
                  <c:v>39.606666666666669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66-4A74-8806-BCFCDA7E45BB}"/>
            </c:ext>
          </c:extLst>
        </c:ser>
        <c:ser>
          <c:idx val="8"/>
          <c:order val="8"/>
          <c:tx>
            <c:strRef>
              <c:f>Summary!$U$34</c:f>
              <c:strCache>
                <c:ptCount val="1"/>
                <c:pt idx="0">
                  <c:v>638 kPa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Summary!$K$12:$K$16</c:f>
              <c:numCache>
                <c:formatCode>General</c:formatCode>
                <c:ptCount val="5"/>
                <c:pt idx="0">
                  <c:v>43.404999999999994</c:v>
                </c:pt>
                <c:pt idx="1">
                  <c:v>43.713999999999999</c:v>
                </c:pt>
                <c:pt idx="2">
                  <c:v>42.823333333333331</c:v>
                </c:pt>
                <c:pt idx="3">
                  <c:v>#N/A</c:v>
                </c:pt>
                <c:pt idx="4">
                  <c:v>42.82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D66-4A74-8806-BCFCDA7E45BB}"/>
            </c:ext>
          </c:extLst>
        </c:ser>
        <c:ser>
          <c:idx val="9"/>
          <c:order val="9"/>
          <c:tx>
            <c:strRef>
              <c:f>Summary!$U$35</c:f>
              <c:strCache>
                <c:ptCount val="1"/>
                <c:pt idx="0">
                  <c:v>705 kPa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Summary!$B$12:$B$16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Summary!$L$12:$L$16</c:f>
              <c:numCache>
                <c:formatCode>General</c:formatCode>
                <c:ptCount val="5"/>
                <c:pt idx="0">
                  <c:v>44.932000000000002</c:v>
                </c:pt>
                <c:pt idx="1">
                  <c:v>45.608333333333327</c:v>
                </c:pt>
                <c:pt idx="2">
                  <c:v>44.220000000000006</c:v>
                </c:pt>
                <c:pt idx="3">
                  <c:v>44.545000000000002</c:v>
                </c:pt>
                <c:pt idx="4">
                  <c:v>45.361666666666672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66-4A74-8806-BCFCDA7E4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715216"/>
        <c:axId val="225716176"/>
      </c:scatterChart>
      <c:valAx>
        <c:axId val="225715216"/>
        <c:scaling>
          <c:orientation val="minMax"/>
          <c:max val="8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16176"/>
        <c:crosses val="autoZero"/>
        <c:crossBetween val="midCat"/>
      </c:valAx>
      <c:valAx>
        <c:axId val="22571617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1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Summary!$U$26</c:f>
              <c:strCache>
                <c:ptCount val="1"/>
                <c:pt idx="0">
                  <c:v>73 kPa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Summary!$C$20:$C$24</c:f>
              <c:numCache>
                <c:formatCode>General</c:formatCode>
                <c:ptCount val="5"/>
                <c:pt idx="0">
                  <c:v>6.666666666666667</c:v>
                </c:pt>
                <c:pt idx="1">
                  <c:v>10.305999999999999</c:v>
                </c:pt>
                <c:pt idx="2">
                  <c:v>15.806666666666665</c:v>
                </c:pt>
                <c:pt idx="3">
                  <c:v>22.6</c:v>
                </c:pt>
                <c:pt idx="4">
                  <c:v>21.630000000000003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FA-4567-976B-F8091991D461}"/>
            </c:ext>
          </c:extLst>
        </c:ser>
        <c:ser>
          <c:idx val="1"/>
          <c:order val="1"/>
          <c:tx>
            <c:strRef>
              <c:f>Summary!$U$27</c:f>
              <c:strCache>
                <c:ptCount val="1"/>
                <c:pt idx="0">
                  <c:v>120 kPa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Summary!$D$20:$D$24</c:f>
              <c:numCache>
                <c:formatCode>General</c:formatCode>
                <c:ptCount val="5"/>
                <c:pt idx="0">
                  <c:v>16.903333333333332</c:v>
                </c:pt>
                <c:pt idx="1">
                  <c:v>22.709999999999997</c:v>
                </c:pt>
                <c:pt idx="2">
                  <c:v>26.853333333333335</c:v>
                </c:pt>
                <c:pt idx="3">
                  <c:v>29.526</c:v>
                </c:pt>
                <c:pt idx="4">
                  <c:v>28.681666666666668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FA-4567-976B-F8091991D461}"/>
            </c:ext>
          </c:extLst>
        </c:ser>
        <c:ser>
          <c:idx val="2"/>
          <c:order val="2"/>
          <c:tx>
            <c:strRef>
              <c:f>Summary!$U$28</c:f>
              <c:strCache>
                <c:ptCount val="1"/>
                <c:pt idx="0">
                  <c:v>164 kPa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Summary!$E$20:$E$24</c:f>
              <c:numCache>
                <c:formatCode>General</c:formatCode>
                <c:ptCount val="5"/>
                <c:pt idx="0">
                  <c:v>23.358333333333334</c:v>
                </c:pt>
                <c:pt idx="1">
                  <c:v>27.486000000000001</c:v>
                </c:pt>
                <c:pt idx="2">
                  <c:v>30.384999999999994</c:v>
                </c:pt>
                <c:pt idx="3">
                  <c:v>33.24</c:v>
                </c:pt>
                <c:pt idx="4">
                  <c:v>32.454999999999998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FA-4567-976B-F8091991D461}"/>
            </c:ext>
          </c:extLst>
        </c:ser>
        <c:ser>
          <c:idx val="3"/>
          <c:order val="3"/>
          <c:tx>
            <c:strRef>
              <c:f>Summary!$U$29</c:f>
              <c:strCache>
                <c:ptCount val="1"/>
                <c:pt idx="0">
                  <c:v>256 kPa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Summary!$F$20:$F$24</c:f>
              <c:numCache>
                <c:formatCode>General</c:formatCode>
                <c:ptCount val="5"/>
                <c:pt idx="0">
                  <c:v>24.302</c:v>
                </c:pt>
                <c:pt idx="1">
                  <c:v>27.936</c:v>
                </c:pt>
                <c:pt idx="2">
                  <c:v>30.721666666666668</c:v>
                </c:pt>
                <c:pt idx="3">
                  <c:v>32.768000000000001</c:v>
                </c:pt>
                <c:pt idx="4">
                  <c:v>31.757999999999999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FA-4567-976B-F8091991D461}"/>
            </c:ext>
          </c:extLst>
        </c:ser>
        <c:ser>
          <c:idx val="4"/>
          <c:order val="4"/>
          <c:tx>
            <c:strRef>
              <c:f>Summary!$U$30</c:f>
              <c:strCache>
                <c:ptCount val="1"/>
                <c:pt idx="0">
                  <c:v>353 kPa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Summary!$G$20:$G$24</c:f>
              <c:numCache>
                <c:formatCode>General</c:formatCode>
                <c:ptCount val="5"/>
                <c:pt idx="0">
                  <c:v>24.735999999999997</c:v>
                </c:pt>
                <c:pt idx="1">
                  <c:v>#N/A</c:v>
                </c:pt>
                <c:pt idx="2">
                  <c:v>30.328333333333333</c:v>
                </c:pt>
                <c:pt idx="3">
                  <c:v>32.435999999999993</c:v>
                </c:pt>
                <c:pt idx="4">
                  <c:v>31.14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FA-4567-976B-F8091991D461}"/>
            </c:ext>
          </c:extLst>
        </c:ser>
        <c:ser>
          <c:idx val="5"/>
          <c:order val="5"/>
          <c:tx>
            <c:strRef>
              <c:f>Summary!$U$31</c:f>
              <c:strCache>
                <c:ptCount val="1"/>
                <c:pt idx="0">
                  <c:v>427 kPa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Summary!$H$20:$H$24</c:f>
              <c:numCache>
                <c:formatCode>General</c:formatCode>
                <c:ptCount val="5"/>
                <c:pt idx="0">
                  <c:v>28.77</c:v>
                </c:pt>
                <c:pt idx="1">
                  <c:v>29.634</c:v>
                </c:pt>
                <c:pt idx="2">
                  <c:v>31.25</c:v>
                </c:pt>
                <c:pt idx="3">
                  <c:v>32.463999999999999</c:v>
                </c:pt>
                <c:pt idx="4">
                  <c:v>31.248333333333335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FA-4567-976B-F8091991D461}"/>
            </c:ext>
          </c:extLst>
        </c:ser>
        <c:ser>
          <c:idx val="6"/>
          <c:order val="6"/>
          <c:tx>
            <c:strRef>
              <c:f>Summary!$U$32</c:f>
              <c:strCache>
                <c:ptCount val="1"/>
                <c:pt idx="0">
                  <c:v>522 kPa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Summary!$I$20:$I$24</c:f>
              <c:numCache>
                <c:formatCode>General</c:formatCode>
                <c:ptCount val="5"/>
                <c:pt idx="0">
                  <c:v>37.86</c:v>
                </c:pt>
                <c:pt idx="1">
                  <c:v>#N/A</c:v>
                </c:pt>
                <c:pt idx="2">
                  <c:v>36.408000000000001</c:v>
                </c:pt>
                <c:pt idx="3">
                  <c:v>36.736000000000004</c:v>
                </c:pt>
                <c:pt idx="4">
                  <c:v>35.924999999999997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FA-4567-976B-F8091991D461}"/>
            </c:ext>
          </c:extLst>
        </c:ser>
        <c:ser>
          <c:idx val="7"/>
          <c:order val="7"/>
          <c:tx>
            <c:strRef>
              <c:f>Summary!$U$33</c:f>
              <c:strCache>
                <c:ptCount val="1"/>
                <c:pt idx="0">
                  <c:v>586 kPa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Summary!$J$20:$J$24</c:f>
              <c:numCache>
                <c:formatCode>General</c:formatCode>
                <c:ptCount val="5"/>
                <c:pt idx="0">
                  <c:v>42.963999999999999</c:v>
                </c:pt>
                <c:pt idx="1">
                  <c:v>41.837999999999994</c:v>
                </c:pt>
                <c:pt idx="2">
                  <c:v>41.343333333333334</c:v>
                </c:pt>
                <c:pt idx="3">
                  <c:v>42.468333333333334</c:v>
                </c:pt>
                <c:pt idx="4">
                  <c:v>41.68666666666666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FA-4567-976B-F8091991D461}"/>
            </c:ext>
          </c:extLst>
        </c:ser>
        <c:ser>
          <c:idx val="8"/>
          <c:order val="8"/>
          <c:tx>
            <c:strRef>
              <c:f>Summary!$U$34</c:f>
              <c:strCache>
                <c:ptCount val="1"/>
                <c:pt idx="0">
                  <c:v>638 kPa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Summary!$K$20:$K$24</c:f>
              <c:numCache>
                <c:formatCode>General</c:formatCode>
                <c:ptCount val="5"/>
                <c:pt idx="0">
                  <c:v>45.822000000000003</c:v>
                </c:pt>
                <c:pt idx="1">
                  <c:v>45.316666666666663</c:v>
                </c:pt>
                <c:pt idx="2">
                  <c:v>45.036000000000001</c:v>
                </c:pt>
                <c:pt idx="3">
                  <c:v>45.667999999999999</c:v>
                </c:pt>
                <c:pt idx="4">
                  <c:v>45.38666666666667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4FA-4567-976B-F8091991D461}"/>
            </c:ext>
          </c:extLst>
        </c:ser>
        <c:ser>
          <c:idx val="9"/>
          <c:order val="9"/>
          <c:tx>
            <c:strRef>
              <c:f>Summary!$U$35</c:f>
              <c:strCache>
                <c:ptCount val="1"/>
                <c:pt idx="0">
                  <c:v>705 kPa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Summary!$B$20:$B$24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Summary!$L$20:$L$24</c:f>
              <c:numCache>
                <c:formatCode>General</c:formatCode>
                <c:ptCount val="5"/>
                <c:pt idx="0">
                  <c:v>47.499999999999993</c:v>
                </c:pt>
                <c:pt idx="1">
                  <c:v>46.970000000000006</c:v>
                </c:pt>
                <c:pt idx="2">
                  <c:v>47.134</c:v>
                </c:pt>
                <c:pt idx="3">
                  <c:v>47.44166666666667</c:v>
                </c:pt>
                <c:pt idx="4">
                  <c:v>47.661666666666669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FA-4567-976B-F8091991D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45072"/>
        <c:axId val="116141232"/>
      </c:scatterChart>
      <c:valAx>
        <c:axId val="116145072"/>
        <c:scaling>
          <c:orientation val="minMax"/>
          <c:max val="8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1232"/>
        <c:crosses val="autoZero"/>
        <c:crossBetween val="midCat"/>
      </c:valAx>
      <c:valAx>
        <c:axId val="11614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Summary!$V$26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Summary!$P$4:$Y$4</c:f>
              <c:numCache>
                <c:formatCode>General</c:formatCode>
                <c:ptCount val="10"/>
                <c:pt idx="0">
                  <c:v>3.3899999999999997</c:v>
                </c:pt>
                <c:pt idx="1">
                  <c:v>7.347999999999999</c:v>
                </c:pt>
                <c:pt idx="2">
                  <c:v>14.668000000000001</c:v>
                </c:pt>
                <c:pt idx="3">
                  <c:v>16.791999999999998</c:v>
                </c:pt>
                <c:pt idx="4">
                  <c:v>18.149999999999999</c:v>
                </c:pt>
                <c:pt idx="5">
                  <c:v>22.728000000000002</c:v>
                </c:pt>
                <c:pt idx="6">
                  <c:v>30.892000000000003</c:v>
                </c:pt>
                <c:pt idx="7">
                  <c:v>35.676000000000002</c:v>
                </c:pt>
                <c:pt idx="8">
                  <c:v>36.595999999999997</c:v>
                </c:pt>
                <c:pt idx="9">
                  <c:v>40.410000000000004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F1-4C22-88AE-B37D84607F4C}"/>
            </c:ext>
          </c:extLst>
        </c:ser>
        <c:ser>
          <c:idx val="1"/>
          <c:order val="1"/>
          <c:tx>
            <c:strRef>
              <c:f>Summary!$V$27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Summary!$P$5:$Y$5</c:f>
              <c:numCache>
                <c:formatCode>General</c:formatCode>
                <c:ptCount val="10"/>
                <c:pt idx="0">
                  <c:v>4.875</c:v>
                </c:pt>
                <c:pt idx="1">
                  <c:v>13.368333333333331</c:v>
                </c:pt>
                <c:pt idx="2">
                  <c:v>20.203333333333337</c:v>
                </c:pt>
                <c:pt idx="3">
                  <c:v>21.176666666666666</c:v>
                </c:pt>
                <c:pt idx="4">
                  <c:v>22.083333333333332</c:v>
                </c:pt>
                <c:pt idx="5">
                  <c:v>22.681666666666665</c:v>
                </c:pt>
                <c:pt idx="6">
                  <c:v>28.031666666666666</c:v>
                </c:pt>
                <c:pt idx="7">
                  <c:v>33.37166666666667</c:v>
                </c:pt>
                <c:pt idx="8">
                  <c:v>36.596666666666664</c:v>
                </c:pt>
                <c:pt idx="9">
                  <c:v>40.076666666666668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F1-4C22-88AE-B37D84607F4C}"/>
            </c:ext>
          </c:extLst>
        </c:ser>
        <c:ser>
          <c:idx val="2"/>
          <c:order val="2"/>
          <c:tx>
            <c:strRef>
              <c:f>Summary!$V$28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Summary!$P$6:$Y$6</c:f>
              <c:numCache>
                <c:formatCode>General</c:formatCode>
                <c:ptCount val="10"/>
                <c:pt idx="0">
                  <c:v>8.2900000000000009</c:v>
                </c:pt>
                <c:pt idx="1">
                  <c:v>20.506666666666664</c:v>
                </c:pt>
                <c:pt idx="2">
                  <c:v>25.59</c:v>
                </c:pt>
                <c:pt idx="3">
                  <c:v>26.320000000000004</c:v>
                </c:pt>
                <c:pt idx="4">
                  <c:v>26.106000000000002</c:v>
                </c:pt>
                <c:pt idx="5">
                  <c:v>25.21</c:v>
                </c:pt>
                <c:pt idx="6">
                  <c:v>27.364000000000001</c:v>
                </c:pt>
                <c:pt idx="7">
                  <c:v>33.061999999999998</c:v>
                </c:pt>
                <c:pt idx="8">
                  <c:v>37.683999999999997</c:v>
                </c:pt>
                <c:pt idx="9">
                  <c:v>38.256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F1-4C22-88AE-B37D84607F4C}"/>
            </c:ext>
          </c:extLst>
        </c:ser>
        <c:ser>
          <c:idx val="3"/>
          <c:order val="3"/>
          <c:tx>
            <c:strRef>
              <c:f>Summary!$V$29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Summary!$P$7:$Y$7</c:f>
              <c:numCache>
                <c:formatCode>General</c:formatCode>
                <c:ptCount val="10"/>
                <c:pt idx="0">
                  <c:v>13.946000000000002</c:v>
                </c:pt>
                <c:pt idx="1">
                  <c:v>22.84</c:v>
                </c:pt>
                <c:pt idx="2">
                  <c:v>26.990000000000002</c:v>
                </c:pt>
                <c:pt idx="3">
                  <c:v>26.657999999999998</c:v>
                </c:pt>
                <c:pt idx="4">
                  <c:v>26.486000000000001</c:v>
                </c:pt>
                <c:pt idx="5">
                  <c:v>26.496000000000002</c:v>
                </c:pt>
                <c:pt idx="6">
                  <c:v>28.360000000000003</c:v>
                </c:pt>
                <c:pt idx="7">
                  <c:v>33.064</c:v>
                </c:pt>
                <c:pt idx="8">
                  <c:v>36.935000000000002</c:v>
                </c:pt>
                <c:pt idx="9">
                  <c:v>39.448333333333338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F1-4C22-88AE-B37D84607F4C}"/>
            </c:ext>
          </c:extLst>
        </c:ser>
        <c:ser>
          <c:idx val="4"/>
          <c:order val="4"/>
          <c:tx>
            <c:strRef>
              <c:f>Summary!$V$30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Summary!$C$3:$L$3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Summary!$P$8:$Y$8</c:f>
              <c:numCache>
                <c:formatCode>General</c:formatCode>
                <c:ptCount val="10"/>
                <c:pt idx="0">
                  <c:v>10.491666666666667</c:v>
                </c:pt>
                <c:pt idx="1">
                  <c:v>17.18</c:v>
                </c:pt>
                <c:pt idx="2">
                  <c:v>23.862000000000002</c:v>
                </c:pt>
                <c:pt idx="3">
                  <c:v>22.346666666666664</c:v>
                </c:pt>
                <c:pt idx="4">
                  <c:v>24.762</c:v>
                </c:pt>
                <c:pt idx="5">
                  <c:v>24.173333333333332</c:v>
                </c:pt>
                <c:pt idx="6">
                  <c:v>26.756666666666668</c:v>
                </c:pt>
                <c:pt idx="7">
                  <c:v>31.093333333333334</c:v>
                </c:pt>
                <c:pt idx="8">
                  <c:v>34.543333333333337</c:v>
                </c:pt>
                <c:pt idx="9">
                  <c:v>35.948333333333338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F1-4C22-88AE-B37D84607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234848"/>
        <c:axId val="1544236288"/>
      </c:scatterChart>
      <c:valAx>
        <c:axId val="154423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36288"/>
        <c:crosses val="autoZero"/>
        <c:crossBetween val="midCat"/>
      </c:valAx>
      <c:valAx>
        <c:axId val="1544236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34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Summary!$V$26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Summary!$P$12:$Y$12</c:f>
              <c:numCache>
                <c:formatCode>General</c:formatCode>
                <c:ptCount val="10"/>
                <c:pt idx="0">
                  <c:v>6.7762500000000001</c:v>
                </c:pt>
                <c:pt idx="1">
                  <c:v>15.529999999999998</c:v>
                </c:pt>
                <c:pt idx="2">
                  <c:v>22.661666666666665</c:v>
                </c:pt>
                <c:pt idx="3">
                  <c:v>23.743333333333336</c:v>
                </c:pt>
                <c:pt idx="4">
                  <c:v>25.95</c:v>
                </c:pt>
                <c:pt idx="5">
                  <c:v>29.98</c:v>
                </c:pt>
                <c:pt idx="6">
                  <c:v>38.768333333333331</c:v>
                </c:pt>
                <c:pt idx="7">
                  <c:v>43.275000000000006</c:v>
                </c:pt>
                <c:pt idx="8">
                  <c:v>47.404999999999994</c:v>
                </c:pt>
                <c:pt idx="9">
                  <c:v>48.932000000000002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D-4E39-A3F2-73E02522A1F2}"/>
            </c:ext>
          </c:extLst>
        </c:ser>
        <c:ser>
          <c:idx val="1"/>
          <c:order val="1"/>
          <c:tx>
            <c:strRef>
              <c:f>Summary!$V$27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Summary!$P$13:$Y$13</c:f>
              <c:numCache>
                <c:formatCode>General</c:formatCode>
                <c:ptCount val="10"/>
                <c:pt idx="0">
                  <c:v>8.1216666666666661</c:v>
                </c:pt>
                <c:pt idx="1">
                  <c:v>18.508333333333333</c:v>
                </c:pt>
                <c:pt idx="2">
                  <c:v>26.492000000000001</c:v>
                </c:pt>
                <c:pt idx="3">
                  <c:v>27.084000000000003</c:v>
                </c:pt>
                <c:pt idx="4">
                  <c:v>28.066666666666666</c:v>
                </c:pt>
                <c:pt idx="5">
                  <c:v>30.77</c:v>
                </c:pt>
                <c:pt idx="6">
                  <c:v>38.386000000000003</c:v>
                </c:pt>
                <c:pt idx="7">
                  <c:v>44.311999999999998</c:v>
                </c:pt>
                <c:pt idx="8">
                  <c:v>47.713999999999999</c:v>
                </c:pt>
                <c:pt idx="9">
                  <c:v>49.608333333333327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BD-4E39-A3F2-73E02522A1F2}"/>
            </c:ext>
          </c:extLst>
        </c:ser>
        <c:ser>
          <c:idx val="2"/>
          <c:order val="2"/>
          <c:tx>
            <c:strRef>
              <c:f>Summary!$V$28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Summary!$P$14:$Y$14</c:f>
              <c:numCache>
                <c:formatCode>General</c:formatCode>
                <c:ptCount val="10"/>
                <c:pt idx="0">
                  <c:v>16.225999999999999</c:v>
                </c:pt>
                <c:pt idx="1">
                  <c:v>28.156666666666666</c:v>
                </c:pt>
                <c:pt idx="2">
                  <c:v>32.32</c:v>
                </c:pt>
                <c:pt idx="3">
                  <c:v>31.940000000000005</c:v>
                </c:pt>
                <c:pt idx="4">
                  <c:v>31.704999999999998</c:v>
                </c:pt>
                <c:pt idx="5">
                  <c:v>32.963999999999999</c:v>
                </c:pt>
                <c:pt idx="6">
                  <c:v>37.084999999999994</c:v>
                </c:pt>
                <c:pt idx="7">
                  <c:v>43.366666666666674</c:v>
                </c:pt>
                <c:pt idx="8">
                  <c:v>46.823333333333331</c:v>
                </c:pt>
                <c:pt idx="9">
                  <c:v>48.220000000000006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BD-4E39-A3F2-73E02522A1F2}"/>
            </c:ext>
          </c:extLst>
        </c:ser>
        <c:ser>
          <c:idx val="3"/>
          <c:order val="3"/>
          <c:tx>
            <c:strRef>
              <c:f>Summary!$V$29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Summary!$P$15:$Y$15</c:f>
              <c:numCache>
                <c:formatCode>General</c:formatCode>
                <c:ptCount val="10"/>
                <c:pt idx="0">
                  <c:v>21.95</c:v>
                </c:pt>
                <c:pt idx="1">
                  <c:v>30.498000000000001</c:v>
                </c:pt>
                <c:pt idx="2">
                  <c:v>34.515000000000001</c:v>
                </c:pt>
                <c:pt idx="3">
                  <c:v>34.078333333333333</c:v>
                </c:pt>
                <c:pt idx="4">
                  <c:v>34.266666666666666</c:v>
                </c:pt>
                <c:pt idx="5">
                  <c:v>34.409999999999997</c:v>
                </c:pt>
                <c:pt idx="6">
                  <c:v>38.508333333333326</c:v>
                </c:pt>
                <c:pt idx="7">
                  <c:v>43.533333333333331</c:v>
                </c:pt>
                <c:pt idx="8">
                  <c:v>#N/A</c:v>
                </c:pt>
                <c:pt idx="9">
                  <c:v>48.545000000000002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BD-4E39-A3F2-73E02522A1F2}"/>
            </c:ext>
          </c:extLst>
        </c:ser>
        <c:ser>
          <c:idx val="4"/>
          <c:order val="4"/>
          <c:tx>
            <c:strRef>
              <c:f>Summary!$V$30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Summary!$C$11:$L$11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Summary!$P$16:$Y$16</c:f>
              <c:numCache>
                <c:formatCode>General</c:formatCode>
                <c:ptCount val="10"/>
                <c:pt idx="0">
                  <c:v>23.115999999999996</c:v>
                </c:pt>
                <c:pt idx="1">
                  <c:v>30.770000000000003</c:v>
                </c:pt>
                <c:pt idx="2">
                  <c:v>33.930000000000007</c:v>
                </c:pt>
                <c:pt idx="3">
                  <c:v>33.650000000000006</c:v>
                </c:pt>
                <c:pt idx="4">
                  <c:v>33.426666666666662</c:v>
                </c:pt>
                <c:pt idx="5">
                  <c:v>33.408333333333331</c:v>
                </c:pt>
                <c:pt idx="6">
                  <c:v>37.683999999999997</c:v>
                </c:pt>
                <c:pt idx="7">
                  <c:v>43.606666666666669</c:v>
                </c:pt>
                <c:pt idx="8">
                  <c:v>46.82</c:v>
                </c:pt>
                <c:pt idx="9">
                  <c:v>49.361666666666672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BD-4E39-A3F2-73E02522A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063504"/>
        <c:axId val="1402064464"/>
      </c:scatterChart>
      <c:valAx>
        <c:axId val="140206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64464"/>
        <c:crosses val="autoZero"/>
        <c:crossBetween val="midCat"/>
      </c:valAx>
      <c:valAx>
        <c:axId val="140206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63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Summary!$V$26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Summary!$P$20:$Y$20</c:f>
              <c:numCache>
                <c:formatCode>General</c:formatCode>
                <c:ptCount val="10"/>
                <c:pt idx="0">
                  <c:v>14.666666666666668</c:v>
                </c:pt>
                <c:pt idx="1">
                  <c:v>24.903333333333332</c:v>
                </c:pt>
                <c:pt idx="2">
                  <c:v>31.358333333333334</c:v>
                </c:pt>
                <c:pt idx="3">
                  <c:v>32.302</c:v>
                </c:pt>
                <c:pt idx="4">
                  <c:v>32.735999999999997</c:v>
                </c:pt>
                <c:pt idx="5">
                  <c:v>36.769999999999996</c:v>
                </c:pt>
                <c:pt idx="6">
                  <c:v>45.86</c:v>
                </c:pt>
                <c:pt idx="7">
                  <c:v>50.963999999999999</c:v>
                </c:pt>
                <c:pt idx="8">
                  <c:v>53.822000000000003</c:v>
                </c:pt>
                <c:pt idx="9">
                  <c:v>55.499999999999993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8-43C4-A2D6-2BFC50B02099}"/>
            </c:ext>
          </c:extLst>
        </c:ser>
        <c:ser>
          <c:idx val="1"/>
          <c:order val="1"/>
          <c:tx>
            <c:strRef>
              <c:f>Summary!$V$27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Summary!$P$21:$Y$21</c:f>
              <c:numCache>
                <c:formatCode>General</c:formatCode>
                <c:ptCount val="10"/>
                <c:pt idx="0">
                  <c:v>18.305999999999997</c:v>
                </c:pt>
                <c:pt idx="1">
                  <c:v>30.709999999999997</c:v>
                </c:pt>
                <c:pt idx="2">
                  <c:v>35.486000000000004</c:v>
                </c:pt>
                <c:pt idx="3">
                  <c:v>35.936</c:v>
                </c:pt>
                <c:pt idx="4">
                  <c:v>#N/A</c:v>
                </c:pt>
                <c:pt idx="5">
                  <c:v>37.634</c:v>
                </c:pt>
                <c:pt idx="6">
                  <c:v>#N/A</c:v>
                </c:pt>
                <c:pt idx="7">
                  <c:v>49.837999999999994</c:v>
                </c:pt>
                <c:pt idx="8">
                  <c:v>53.316666666666663</c:v>
                </c:pt>
                <c:pt idx="9">
                  <c:v>54.970000000000006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08-43C4-A2D6-2BFC50B02099}"/>
            </c:ext>
          </c:extLst>
        </c:ser>
        <c:ser>
          <c:idx val="2"/>
          <c:order val="2"/>
          <c:tx>
            <c:strRef>
              <c:f>Summary!$V$28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Summary!$P$22:$Y$22</c:f>
              <c:numCache>
                <c:formatCode>General</c:formatCode>
                <c:ptCount val="10"/>
                <c:pt idx="0">
                  <c:v>23.806666666666665</c:v>
                </c:pt>
                <c:pt idx="1">
                  <c:v>34.853333333333339</c:v>
                </c:pt>
                <c:pt idx="2">
                  <c:v>38.384999999999991</c:v>
                </c:pt>
                <c:pt idx="3">
                  <c:v>38.721666666666664</c:v>
                </c:pt>
                <c:pt idx="4">
                  <c:v>38.328333333333333</c:v>
                </c:pt>
                <c:pt idx="5">
                  <c:v>39.25</c:v>
                </c:pt>
                <c:pt idx="6">
                  <c:v>44.408000000000001</c:v>
                </c:pt>
                <c:pt idx="7">
                  <c:v>49.343333333333334</c:v>
                </c:pt>
                <c:pt idx="8">
                  <c:v>53.036000000000001</c:v>
                </c:pt>
                <c:pt idx="9">
                  <c:v>55.134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08-43C4-A2D6-2BFC50B02099}"/>
            </c:ext>
          </c:extLst>
        </c:ser>
        <c:ser>
          <c:idx val="3"/>
          <c:order val="3"/>
          <c:tx>
            <c:strRef>
              <c:f>Summary!$V$29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Summary!$P$23:$Y$23</c:f>
              <c:numCache>
                <c:formatCode>General</c:formatCode>
                <c:ptCount val="10"/>
                <c:pt idx="0">
                  <c:v>30.6</c:v>
                </c:pt>
                <c:pt idx="1">
                  <c:v>37.525999999999996</c:v>
                </c:pt>
                <c:pt idx="2">
                  <c:v>41.24</c:v>
                </c:pt>
                <c:pt idx="3">
                  <c:v>40.768000000000001</c:v>
                </c:pt>
                <c:pt idx="4">
                  <c:v>40.435999999999993</c:v>
                </c:pt>
                <c:pt idx="5">
                  <c:v>40.463999999999999</c:v>
                </c:pt>
                <c:pt idx="6">
                  <c:v>44.736000000000004</c:v>
                </c:pt>
                <c:pt idx="7">
                  <c:v>50.468333333333334</c:v>
                </c:pt>
                <c:pt idx="8">
                  <c:v>53.667999999999999</c:v>
                </c:pt>
                <c:pt idx="9">
                  <c:v>55.44166666666667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08-43C4-A2D6-2BFC50B02099}"/>
            </c:ext>
          </c:extLst>
        </c:ser>
        <c:ser>
          <c:idx val="4"/>
          <c:order val="4"/>
          <c:tx>
            <c:strRef>
              <c:f>Summary!$V$30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Summary!$C$19:$L$19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Summary!$P$24:$Y$24</c:f>
              <c:numCache>
                <c:formatCode>General</c:formatCode>
                <c:ptCount val="10"/>
                <c:pt idx="0">
                  <c:v>29.630000000000003</c:v>
                </c:pt>
                <c:pt idx="1">
                  <c:v>36.681666666666672</c:v>
                </c:pt>
                <c:pt idx="2">
                  <c:v>40.454999999999998</c:v>
                </c:pt>
                <c:pt idx="3">
                  <c:v>39.757999999999996</c:v>
                </c:pt>
                <c:pt idx="4">
                  <c:v>39.14</c:v>
                </c:pt>
                <c:pt idx="5">
                  <c:v>39.248333333333335</c:v>
                </c:pt>
                <c:pt idx="6">
                  <c:v>43.924999999999997</c:v>
                </c:pt>
                <c:pt idx="7">
                  <c:v>49.68666666666666</c:v>
                </c:pt>
                <c:pt idx="8">
                  <c:v>53.38666666666667</c:v>
                </c:pt>
                <c:pt idx="9">
                  <c:v>55.661666666666669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08-43C4-A2D6-2BFC50B0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2064"/>
        <c:axId val="89122544"/>
      </c:scatterChart>
      <c:valAx>
        <c:axId val="89122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2544"/>
        <c:crosses val="autoZero"/>
        <c:crossBetween val="midCat"/>
      </c:valAx>
      <c:valAx>
        <c:axId val="89122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Summary!$U$26</c:f>
              <c:strCache>
                <c:ptCount val="1"/>
                <c:pt idx="0">
                  <c:v>73 kPa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Summary!$C$78:$C$82</c:f>
              <c:numCache>
                <c:formatCode>General</c:formatCode>
                <c:ptCount val="5"/>
                <c:pt idx="0">
                  <c:v>0</c:v>
                </c:pt>
                <c:pt idx="1">
                  <c:v>1.4850000000000003</c:v>
                </c:pt>
                <c:pt idx="2">
                  <c:v>4.9000000000000012</c:v>
                </c:pt>
                <c:pt idx="3">
                  <c:v>10.556000000000001</c:v>
                </c:pt>
                <c:pt idx="4">
                  <c:v>7.1016666666666675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6-45B4-AABD-26E366967789}"/>
            </c:ext>
          </c:extLst>
        </c:ser>
        <c:ser>
          <c:idx val="1"/>
          <c:order val="1"/>
          <c:tx>
            <c:strRef>
              <c:f>Summary!$U$27</c:f>
              <c:strCache>
                <c:ptCount val="1"/>
                <c:pt idx="0">
                  <c:v>120 kPa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Summary!$D$78:$D$82</c:f>
              <c:numCache>
                <c:formatCode>General</c:formatCode>
                <c:ptCount val="5"/>
                <c:pt idx="0">
                  <c:v>0</c:v>
                </c:pt>
                <c:pt idx="1">
                  <c:v>6.0203333333333315</c:v>
                </c:pt>
                <c:pt idx="2">
                  <c:v>13.158666666666665</c:v>
                </c:pt>
                <c:pt idx="3">
                  <c:v>15.492000000000001</c:v>
                </c:pt>
                <c:pt idx="4">
                  <c:v>9.8320000000000007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76-45B4-AABD-26E366967789}"/>
            </c:ext>
          </c:extLst>
        </c:ser>
        <c:ser>
          <c:idx val="2"/>
          <c:order val="2"/>
          <c:tx>
            <c:strRef>
              <c:f>Summary!$U$28</c:f>
              <c:strCache>
                <c:ptCount val="1"/>
                <c:pt idx="0">
                  <c:v>164 kPa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Summary!$E$78:$E$82</c:f>
              <c:numCache>
                <c:formatCode>General</c:formatCode>
                <c:ptCount val="5"/>
                <c:pt idx="0">
                  <c:v>0</c:v>
                </c:pt>
                <c:pt idx="1">
                  <c:v>5.5353333333333357</c:v>
                </c:pt>
                <c:pt idx="2">
                  <c:v>10.921999999999999</c:v>
                </c:pt>
                <c:pt idx="3">
                  <c:v>12.322000000000001</c:v>
                </c:pt>
                <c:pt idx="4">
                  <c:v>9.1940000000000008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76-45B4-AABD-26E366967789}"/>
            </c:ext>
          </c:extLst>
        </c:ser>
        <c:ser>
          <c:idx val="3"/>
          <c:order val="3"/>
          <c:tx>
            <c:strRef>
              <c:f>Summary!$U$29</c:f>
              <c:strCache>
                <c:ptCount val="1"/>
                <c:pt idx="0">
                  <c:v>256 kPa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Summary!$F$78:$F$82</c:f>
              <c:numCache>
                <c:formatCode>General</c:formatCode>
                <c:ptCount val="5"/>
                <c:pt idx="0">
                  <c:v>0</c:v>
                </c:pt>
                <c:pt idx="1">
                  <c:v>4.3846666666666678</c:v>
                </c:pt>
                <c:pt idx="2">
                  <c:v>9.5280000000000058</c:v>
                </c:pt>
                <c:pt idx="3">
                  <c:v>9.8659999999999997</c:v>
                </c:pt>
                <c:pt idx="4">
                  <c:v>5.554666666666666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76-45B4-AABD-26E366967789}"/>
            </c:ext>
          </c:extLst>
        </c:ser>
        <c:ser>
          <c:idx val="4"/>
          <c:order val="4"/>
          <c:tx>
            <c:strRef>
              <c:f>Summary!$U$30</c:f>
              <c:strCache>
                <c:ptCount val="1"/>
                <c:pt idx="0">
                  <c:v>353 kPa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Summary!$G$78:$G$82</c:f>
              <c:numCache>
                <c:formatCode>General</c:formatCode>
                <c:ptCount val="5"/>
                <c:pt idx="0">
                  <c:v>0</c:v>
                </c:pt>
                <c:pt idx="1">
                  <c:v>3.9333333333333336</c:v>
                </c:pt>
                <c:pt idx="2">
                  <c:v>7.9560000000000031</c:v>
                </c:pt>
                <c:pt idx="3">
                  <c:v>8.3360000000000021</c:v>
                </c:pt>
                <c:pt idx="4">
                  <c:v>6.6120000000000019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76-45B4-AABD-26E366967789}"/>
            </c:ext>
          </c:extLst>
        </c:ser>
        <c:ser>
          <c:idx val="5"/>
          <c:order val="5"/>
          <c:tx>
            <c:strRef>
              <c:f>Summary!$U$31</c:f>
              <c:strCache>
                <c:ptCount val="1"/>
                <c:pt idx="0">
                  <c:v>427 kPa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Summary!$H$78:$H$82</c:f>
              <c:numCache>
                <c:formatCode>General</c:formatCode>
                <c:ptCount val="5"/>
                <c:pt idx="0">
                  <c:v>0</c:v>
                </c:pt>
                <c:pt idx="1">
                  <c:v>-4.6333333333336668E-2</c:v>
                </c:pt>
                <c:pt idx="2">
                  <c:v>2.4819999999999993</c:v>
                </c:pt>
                <c:pt idx="3">
                  <c:v>3.7680000000000007</c:v>
                </c:pt>
                <c:pt idx="4">
                  <c:v>1.4453333333333305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76-45B4-AABD-26E366967789}"/>
            </c:ext>
          </c:extLst>
        </c:ser>
        <c:ser>
          <c:idx val="6"/>
          <c:order val="6"/>
          <c:tx>
            <c:strRef>
              <c:f>Summary!$U$32</c:f>
              <c:strCache>
                <c:ptCount val="1"/>
                <c:pt idx="0">
                  <c:v>522 kPa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Summary!$I$78:$I$82</c:f>
              <c:numCache>
                <c:formatCode>General</c:formatCode>
                <c:ptCount val="5"/>
                <c:pt idx="0">
                  <c:v>0</c:v>
                </c:pt>
                <c:pt idx="1">
                  <c:v>-2.8603333333333367</c:v>
                </c:pt>
                <c:pt idx="2">
                  <c:v>-3.5280000000000022</c:v>
                </c:pt>
                <c:pt idx="3">
                  <c:v>-2.532</c:v>
                </c:pt>
                <c:pt idx="4">
                  <c:v>-4.1353333333333353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76-45B4-AABD-26E366967789}"/>
            </c:ext>
          </c:extLst>
        </c:ser>
        <c:ser>
          <c:idx val="7"/>
          <c:order val="7"/>
          <c:tx>
            <c:strRef>
              <c:f>Summary!$U$33</c:f>
              <c:strCache>
                <c:ptCount val="1"/>
                <c:pt idx="0">
                  <c:v>586 kPa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Summary!$J$78:$J$82</c:f>
              <c:numCache>
                <c:formatCode>General</c:formatCode>
                <c:ptCount val="5"/>
                <c:pt idx="0">
                  <c:v>0</c:v>
                </c:pt>
                <c:pt idx="1">
                  <c:v>-2.3043333333333322</c:v>
                </c:pt>
                <c:pt idx="2">
                  <c:v>-2.6140000000000043</c:v>
                </c:pt>
                <c:pt idx="3">
                  <c:v>-2.6120000000000019</c:v>
                </c:pt>
                <c:pt idx="4">
                  <c:v>-4.5826666666666682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76-45B4-AABD-26E366967789}"/>
            </c:ext>
          </c:extLst>
        </c:ser>
        <c:ser>
          <c:idx val="8"/>
          <c:order val="8"/>
          <c:tx>
            <c:strRef>
              <c:f>Summary!$U$34</c:f>
              <c:strCache>
                <c:ptCount val="1"/>
                <c:pt idx="0">
                  <c:v>638 kPa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Summary!$K$78:$K$82</c:f>
              <c:numCache>
                <c:formatCode>General</c:formatCode>
                <c:ptCount val="5"/>
                <c:pt idx="0">
                  <c:v>0</c:v>
                </c:pt>
                <c:pt idx="1">
                  <c:v>6.6666666666748142E-4</c:v>
                </c:pt>
                <c:pt idx="2">
                  <c:v>1.088000000000001</c:v>
                </c:pt>
                <c:pt idx="3">
                  <c:v>0.33900000000000574</c:v>
                </c:pt>
                <c:pt idx="4">
                  <c:v>-2.05266666666666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76-45B4-AABD-26E366967789}"/>
            </c:ext>
          </c:extLst>
        </c:ser>
        <c:ser>
          <c:idx val="9"/>
          <c:order val="9"/>
          <c:tx>
            <c:strRef>
              <c:f>Summary!$U$35</c:f>
              <c:strCache>
                <c:ptCount val="1"/>
                <c:pt idx="0">
                  <c:v>705 kPa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Summary!$L$78:$L$82</c:f>
              <c:numCache>
                <c:formatCode>General</c:formatCode>
                <c:ptCount val="5"/>
                <c:pt idx="0">
                  <c:v>0</c:v>
                </c:pt>
                <c:pt idx="1">
                  <c:v>-0.3333333333333357</c:v>
                </c:pt>
                <c:pt idx="2">
                  <c:v>-2.1540000000000035</c:v>
                </c:pt>
                <c:pt idx="3">
                  <c:v>-0.961666666666666</c:v>
                </c:pt>
                <c:pt idx="4">
                  <c:v>-4.461666666666666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76-45B4-AABD-26E366967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84816"/>
        <c:axId val="220489616"/>
      </c:scatterChart>
      <c:valAx>
        <c:axId val="220484816"/>
        <c:scaling>
          <c:orientation val="minMax"/>
          <c:max val="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89616"/>
        <c:crossesAt val="-10"/>
        <c:crossBetween val="midCat"/>
      </c:valAx>
      <c:valAx>
        <c:axId val="220489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 (dB re atm)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8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Summary!$U$26</c:f>
              <c:strCache>
                <c:ptCount val="1"/>
                <c:pt idx="0">
                  <c:v>73 kPa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Summary!$C$86:$C$90</c:f>
              <c:numCache>
                <c:formatCode>General</c:formatCode>
                <c:ptCount val="5"/>
                <c:pt idx="0">
                  <c:v>0</c:v>
                </c:pt>
                <c:pt idx="1">
                  <c:v>1.3454166666666669</c:v>
                </c:pt>
                <c:pt idx="2">
                  <c:v>9.4497499999999981</c:v>
                </c:pt>
                <c:pt idx="3">
                  <c:v>15.173749999999998</c:v>
                </c:pt>
                <c:pt idx="4">
                  <c:v>16.339749999999995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B-4B96-BCC5-1CB78A0AAC2F}"/>
            </c:ext>
          </c:extLst>
        </c:ser>
        <c:ser>
          <c:idx val="1"/>
          <c:order val="1"/>
          <c:tx>
            <c:strRef>
              <c:f>Summary!$U$27</c:f>
              <c:strCache>
                <c:ptCount val="1"/>
                <c:pt idx="0">
                  <c:v>120 kPa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Summary!$D$86:$D$90</c:f>
              <c:numCache>
                <c:formatCode>General</c:formatCode>
                <c:ptCount val="5"/>
                <c:pt idx="0">
                  <c:v>0</c:v>
                </c:pt>
                <c:pt idx="1">
                  <c:v>2.9783333333333371</c:v>
                </c:pt>
                <c:pt idx="2">
                  <c:v>12.626666666666669</c:v>
                </c:pt>
                <c:pt idx="3">
                  <c:v>14.968000000000004</c:v>
                </c:pt>
                <c:pt idx="4">
                  <c:v>15.240000000000006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BB-4B96-BCC5-1CB78A0AAC2F}"/>
            </c:ext>
          </c:extLst>
        </c:ser>
        <c:ser>
          <c:idx val="2"/>
          <c:order val="2"/>
          <c:tx>
            <c:strRef>
              <c:f>Summary!$U$28</c:f>
              <c:strCache>
                <c:ptCount val="1"/>
                <c:pt idx="0">
                  <c:v>164 kPa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Summary!$E$86:$E$90</c:f>
              <c:numCache>
                <c:formatCode>General</c:formatCode>
                <c:ptCount val="5"/>
                <c:pt idx="0">
                  <c:v>0</c:v>
                </c:pt>
                <c:pt idx="1">
                  <c:v>3.8303333333333356</c:v>
                </c:pt>
                <c:pt idx="2">
                  <c:v>9.658333333333335</c:v>
                </c:pt>
                <c:pt idx="3">
                  <c:v>11.853333333333335</c:v>
                </c:pt>
                <c:pt idx="4">
                  <c:v>11.268333333333338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BB-4B96-BCC5-1CB78A0AAC2F}"/>
            </c:ext>
          </c:extLst>
        </c:ser>
        <c:ser>
          <c:idx val="3"/>
          <c:order val="3"/>
          <c:tx>
            <c:strRef>
              <c:f>Summary!$U$29</c:f>
              <c:strCache>
                <c:ptCount val="1"/>
                <c:pt idx="0">
                  <c:v>256 kPa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Summary!$F$86:$F$90</c:f>
              <c:numCache>
                <c:formatCode>General</c:formatCode>
                <c:ptCount val="5"/>
                <c:pt idx="0">
                  <c:v>0</c:v>
                </c:pt>
                <c:pt idx="1">
                  <c:v>3.3406666666666673</c:v>
                </c:pt>
                <c:pt idx="2">
                  <c:v>8.196666666666669</c:v>
                </c:pt>
                <c:pt idx="3">
                  <c:v>10.335000000000001</c:v>
                </c:pt>
                <c:pt idx="4">
                  <c:v>9.9066666666666663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B-4B96-BCC5-1CB78A0AAC2F}"/>
            </c:ext>
          </c:extLst>
        </c:ser>
        <c:ser>
          <c:idx val="4"/>
          <c:order val="4"/>
          <c:tx>
            <c:strRef>
              <c:f>Summary!$U$30</c:f>
              <c:strCache>
                <c:ptCount val="1"/>
                <c:pt idx="0">
                  <c:v>353 kPa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Summary!$G$86:$G$90</c:f>
              <c:numCache>
                <c:formatCode>General</c:formatCode>
                <c:ptCount val="5"/>
                <c:pt idx="0">
                  <c:v>0</c:v>
                </c:pt>
                <c:pt idx="1">
                  <c:v>2.1166666666666671</c:v>
                </c:pt>
                <c:pt idx="2">
                  <c:v>5.754999999999999</c:v>
                </c:pt>
                <c:pt idx="3">
                  <c:v>8.3166666666666664</c:v>
                </c:pt>
                <c:pt idx="4">
                  <c:v>7.4766666666666666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BB-4B96-BCC5-1CB78A0AAC2F}"/>
            </c:ext>
          </c:extLst>
        </c:ser>
        <c:ser>
          <c:idx val="5"/>
          <c:order val="5"/>
          <c:tx>
            <c:strRef>
              <c:f>Summary!$U$31</c:f>
              <c:strCache>
                <c:ptCount val="1"/>
                <c:pt idx="0">
                  <c:v>427 kPa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Summary!$H$86:$H$90</c:f>
              <c:numCache>
                <c:formatCode>General</c:formatCode>
                <c:ptCount val="5"/>
                <c:pt idx="0">
                  <c:v>0</c:v>
                </c:pt>
                <c:pt idx="1">
                  <c:v>0.78999999999999915</c:v>
                </c:pt>
                <c:pt idx="2">
                  <c:v>2.9840000000000018</c:v>
                </c:pt>
                <c:pt idx="3">
                  <c:v>4.43</c:v>
                </c:pt>
                <c:pt idx="4">
                  <c:v>3.428333333333331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BB-4B96-BCC5-1CB78A0AAC2F}"/>
            </c:ext>
          </c:extLst>
        </c:ser>
        <c:ser>
          <c:idx val="6"/>
          <c:order val="6"/>
          <c:tx>
            <c:strRef>
              <c:f>Summary!$U$32</c:f>
              <c:strCache>
                <c:ptCount val="1"/>
                <c:pt idx="0">
                  <c:v>522 kPa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Summary!$I$86:$I$90</c:f>
              <c:numCache>
                <c:formatCode>General</c:formatCode>
                <c:ptCount val="5"/>
                <c:pt idx="0">
                  <c:v>0</c:v>
                </c:pt>
                <c:pt idx="1">
                  <c:v>-0.38233333333332808</c:v>
                </c:pt>
                <c:pt idx="2">
                  <c:v>-1.6833333333333371</c:v>
                </c:pt>
                <c:pt idx="3">
                  <c:v>-0.26000000000000512</c:v>
                </c:pt>
                <c:pt idx="4">
                  <c:v>-1.0843333333333334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BB-4B96-BCC5-1CB78A0AAC2F}"/>
            </c:ext>
          </c:extLst>
        </c:ser>
        <c:ser>
          <c:idx val="7"/>
          <c:order val="7"/>
          <c:tx>
            <c:strRef>
              <c:f>Summary!$U$33</c:f>
              <c:strCache>
                <c:ptCount val="1"/>
                <c:pt idx="0">
                  <c:v>586 kPa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Summary!$J$86:$J$90</c:f>
              <c:numCache>
                <c:formatCode>General</c:formatCode>
                <c:ptCount val="5"/>
                <c:pt idx="0">
                  <c:v>0</c:v>
                </c:pt>
                <c:pt idx="1">
                  <c:v>1.0369999999999919</c:v>
                </c:pt>
                <c:pt idx="2">
                  <c:v>9.1666666666668561E-2</c:v>
                </c:pt>
                <c:pt idx="3">
                  <c:v>0.25833333333332575</c:v>
                </c:pt>
                <c:pt idx="4">
                  <c:v>0.33166666666666345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BB-4B96-BCC5-1CB78A0AAC2F}"/>
            </c:ext>
          </c:extLst>
        </c:ser>
        <c:ser>
          <c:idx val="8"/>
          <c:order val="8"/>
          <c:tx>
            <c:strRef>
              <c:f>Summary!$U$34</c:f>
              <c:strCache>
                <c:ptCount val="1"/>
                <c:pt idx="0">
                  <c:v>638 kPa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Summary!$K$86:$K$90</c:f>
              <c:numCache>
                <c:formatCode>General</c:formatCode>
                <c:ptCount val="5"/>
                <c:pt idx="0">
                  <c:v>0</c:v>
                </c:pt>
                <c:pt idx="1">
                  <c:v>0.3090000000000046</c:v>
                </c:pt>
                <c:pt idx="2">
                  <c:v>-0.58166666666666345</c:v>
                </c:pt>
                <c:pt idx="3">
                  <c:v>#N/A</c:v>
                </c:pt>
                <c:pt idx="4">
                  <c:v>-0.58499999999999375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CBB-4B96-BCC5-1CB78A0AAC2F}"/>
            </c:ext>
          </c:extLst>
        </c:ser>
        <c:ser>
          <c:idx val="9"/>
          <c:order val="9"/>
          <c:tx>
            <c:strRef>
              <c:f>Summary!$U$35</c:f>
              <c:strCache>
                <c:ptCount val="1"/>
                <c:pt idx="0">
                  <c:v>705 kPa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Summary!$L$86:$L$90</c:f>
              <c:numCache>
                <c:formatCode>General</c:formatCode>
                <c:ptCount val="5"/>
                <c:pt idx="0">
                  <c:v>0</c:v>
                </c:pt>
                <c:pt idx="1">
                  <c:v>0.67633333333332502</c:v>
                </c:pt>
                <c:pt idx="2">
                  <c:v>-0.71199999999999619</c:v>
                </c:pt>
                <c:pt idx="3">
                  <c:v>-0.38700000000000045</c:v>
                </c:pt>
                <c:pt idx="4">
                  <c:v>0.42966666666666953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CBB-4B96-BCC5-1CB78A0AA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84816"/>
        <c:axId val="220489616"/>
      </c:scatterChart>
      <c:valAx>
        <c:axId val="220484816"/>
        <c:scaling>
          <c:orientation val="minMax"/>
          <c:max val="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89616"/>
        <c:crossesAt val="-10"/>
        <c:crossBetween val="midCat"/>
      </c:valAx>
      <c:valAx>
        <c:axId val="220489616"/>
        <c:scaling>
          <c:orientation val="minMax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 (dB re atm)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8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Summary!$U$26</c:f>
              <c:strCache>
                <c:ptCount val="1"/>
                <c:pt idx="0">
                  <c:v>73 kPa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Summary!$C$94:$C$98</c:f>
              <c:numCache>
                <c:formatCode>General</c:formatCode>
                <c:ptCount val="5"/>
                <c:pt idx="0">
                  <c:v>0</c:v>
                </c:pt>
                <c:pt idx="1">
                  <c:v>3.6393333333333322</c:v>
                </c:pt>
                <c:pt idx="2">
                  <c:v>9.139999999999997</c:v>
                </c:pt>
                <c:pt idx="3">
                  <c:v>15.933333333333334</c:v>
                </c:pt>
                <c:pt idx="4">
                  <c:v>14.963333333333335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9-4BDD-8C1A-800ADC66BA3D}"/>
            </c:ext>
          </c:extLst>
        </c:ser>
        <c:ser>
          <c:idx val="1"/>
          <c:order val="1"/>
          <c:tx>
            <c:strRef>
              <c:f>Summary!$U$27</c:f>
              <c:strCache>
                <c:ptCount val="1"/>
                <c:pt idx="0">
                  <c:v>120 kPa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Summary!$D$94:$D$98</c:f>
              <c:numCache>
                <c:formatCode>General</c:formatCode>
                <c:ptCount val="5"/>
                <c:pt idx="0">
                  <c:v>0</c:v>
                </c:pt>
                <c:pt idx="1">
                  <c:v>5.8066666666666649</c:v>
                </c:pt>
                <c:pt idx="2">
                  <c:v>9.9500000000000028</c:v>
                </c:pt>
                <c:pt idx="3">
                  <c:v>12.622666666666667</c:v>
                </c:pt>
                <c:pt idx="4">
                  <c:v>11.778333333333336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79-4BDD-8C1A-800ADC66BA3D}"/>
            </c:ext>
          </c:extLst>
        </c:ser>
        <c:ser>
          <c:idx val="2"/>
          <c:order val="2"/>
          <c:tx>
            <c:strRef>
              <c:f>Summary!$U$28</c:f>
              <c:strCache>
                <c:ptCount val="1"/>
                <c:pt idx="0">
                  <c:v>164 kPa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Summary!$E$94:$E$98</c:f>
              <c:numCache>
                <c:formatCode>General</c:formatCode>
                <c:ptCount val="5"/>
                <c:pt idx="0">
                  <c:v>0</c:v>
                </c:pt>
                <c:pt idx="1">
                  <c:v>4.1276666666666664</c:v>
                </c:pt>
                <c:pt idx="2">
                  <c:v>7.0266666666666602</c:v>
                </c:pt>
                <c:pt idx="3">
                  <c:v>9.8816666666666677</c:v>
                </c:pt>
                <c:pt idx="4">
                  <c:v>9.096666666666664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79-4BDD-8C1A-800ADC66BA3D}"/>
            </c:ext>
          </c:extLst>
        </c:ser>
        <c:ser>
          <c:idx val="3"/>
          <c:order val="3"/>
          <c:tx>
            <c:strRef>
              <c:f>Summary!$U$29</c:f>
              <c:strCache>
                <c:ptCount val="1"/>
                <c:pt idx="0">
                  <c:v>256 kPa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Summary!$F$94:$F$98</c:f>
              <c:numCache>
                <c:formatCode>General</c:formatCode>
                <c:ptCount val="5"/>
                <c:pt idx="0">
                  <c:v>0</c:v>
                </c:pt>
                <c:pt idx="1">
                  <c:v>3.6340000000000003</c:v>
                </c:pt>
                <c:pt idx="2">
                  <c:v>6.419666666666668</c:v>
                </c:pt>
                <c:pt idx="3">
                  <c:v>8.4660000000000011</c:v>
                </c:pt>
                <c:pt idx="4">
                  <c:v>7.4559999999999995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79-4BDD-8C1A-800ADC66BA3D}"/>
            </c:ext>
          </c:extLst>
        </c:ser>
        <c:ser>
          <c:idx val="4"/>
          <c:order val="4"/>
          <c:tx>
            <c:strRef>
              <c:f>Summary!$U$30</c:f>
              <c:strCache>
                <c:ptCount val="1"/>
                <c:pt idx="0">
                  <c:v>353 kPa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Summary!$G$94:$G$98</c:f>
              <c:numCache>
                <c:formatCode>General</c:formatCode>
                <c:ptCount val="5"/>
                <c:pt idx="0">
                  <c:v>0</c:v>
                </c:pt>
                <c:pt idx="1">
                  <c:v>#N/A</c:v>
                </c:pt>
                <c:pt idx="2">
                  <c:v>5.592333333333336</c:v>
                </c:pt>
                <c:pt idx="3">
                  <c:v>7.6999999999999957</c:v>
                </c:pt>
                <c:pt idx="4">
                  <c:v>6.4040000000000035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79-4BDD-8C1A-800ADC66BA3D}"/>
            </c:ext>
          </c:extLst>
        </c:ser>
        <c:ser>
          <c:idx val="5"/>
          <c:order val="5"/>
          <c:tx>
            <c:strRef>
              <c:f>Summary!$U$31</c:f>
              <c:strCache>
                <c:ptCount val="1"/>
                <c:pt idx="0">
                  <c:v>427 kPa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Summary!$H$94:$H$98</c:f>
              <c:numCache>
                <c:formatCode>General</c:formatCode>
                <c:ptCount val="5"/>
                <c:pt idx="0">
                  <c:v>0</c:v>
                </c:pt>
                <c:pt idx="1">
                  <c:v>0.86400000000000077</c:v>
                </c:pt>
                <c:pt idx="2">
                  <c:v>2.4800000000000004</c:v>
                </c:pt>
                <c:pt idx="3">
                  <c:v>3.6939999999999991</c:v>
                </c:pt>
                <c:pt idx="4">
                  <c:v>2.4783333333333353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79-4BDD-8C1A-800ADC66BA3D}"/>
            </c:ext>
          </c:extLst>
        </c:ser>
        <c:ser>
          <c:idx val="6"/>
          <c:order val="6"/>
          <c:tx>
            <c:strRef>
              <c:f>Summary!$U$32</c:f>
              <c:strCache>
                <c:ptCount val="1"/>
                <c:pt idx="0">
                  <c:v>522 kPa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Summary!$I$94:$I$98</c:f>
              <c:numCache>
                <c:formatCode>General</c:formatCode>
                <c:ptCount val="5"/>
                <c:pt idx="0">
                  <c:v>0</c:v>
                </c:pt>
                <c:pt idx="1">
                  <c:v>#N/A</c:v>
                </c:pt>
                <c:pt idx="2">
                  <c:v>-1.4519999999999982</c:v>
                </c:pt>
                <c:pt idx="3">
                  <c:v>-1.1239999999999952</c:v>
                </c:pt>
                <c:pt idx="4">
                  <c:v>-1.9350000000000023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D79-4BDD-8C1A-800ADC66BA3D}"/>
            </c:ext>
          </c:extLst>
        </c:ser>
        <c:ser>
          <c:idx val="7"/>
          <c:order val="7"/>
          <c:tx>
            <c:strRef>
              <c:f>Summary!$U$33</c:f>
              <c:strCache>
                <c:ptCount val="1"/>
                <c:pt idx="0">
                  <c:v>586 kPa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Summary!$J$94:$J$98</c:f>
              <c:numCache>
                <c:formatCode>General</c:formatCode>
                <c:ptCount val="5"/>
                <c:pt idx="0">
                  <c:v>0</c:v>
                </c:pt>
                <c:pt idx="1">
                  <c:v>-1.1260000000000048</c:v>
                </c:pt>
                <c:pt idx="2">
                  <c:v>-1.6206666666666649</c:v>
                </c:pt>
                <c:pt idx="3">
                  <c:v>-0.49566666666666492</c:v>
                </c:pt>
                <c:pt idx="4">
                  <c:v>-1.2773333333333383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79-4BDD-8C1A-800ADC66BA3D}"/>
            </c:ext>
          </c:extLst>
        </c:ser>
        <c:ser>
          <c:idx val="8"/>
          <c:order val="8"/>
          <c:tx>
            <c:strRef>
              <c:f>Summary!$U$34</c:f>
              <c:strCache>
                <c:ptCount val="1"/>
                <c:pt idx="0">
                  <c:v>638 kPa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Summary!$K$94:$K$98</c:f>
              <c:numCache>
                <c:formatCode>General</c:formatCode>
                <c:ptCount val="5"/>
                <c:pt idx="0">
                  <c:v>0</c:v>
                </c:pt>
                <c:pt idx="1">
                  <c:v>-0.50533333333333985</c:v>
                </c:pt>
                <c:pt idx="2">
                  <c:v>-0.78600000000000136</c:v>
                </c:pt>
                <c:pt idx="3">
                  <c:v>-0.15400000000000347</c:v>
                </c:pt>
                <c:pt idx="4">
                  <c:v>-0.43533333333333246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D79-4BDD-8C1A-800ADC66BA3D}"/>
            </c:ext>
          </c:extLst>
        </c:ser>
        <c:ser>
          <c:idx val="9"/>
          <c:order val="9"/>
          <c:tx>
            <c:strRef>
              <c:f>Summary!$U$35</c:f>
              <c:strCache>
                <c:ptCount val="1"/>
                <c:pt idx="0">
                  <c:v>705 kPa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Summary!$L$94:$L$98</c:f>
              <c:numCache>
                <c:formatCode>General</c:formatCode>
                <c:ptCount val="5"/>
                <c:pt idx="0">
                  <c:v>0</c:v>
                </c:pt>
                <c:pt idx="1">
                  <c:v>-0.52999999999998693</c:v>
                </c:pt>
                <c:pt idx="2">
                  <c:v>-0.36599999999999255</c:v>
                </c:pt>
                <c:pt idx="3">
                  <c:v>-5.8333333333322912E-2</c:v>
                </c:pt>
                <c:pt idx="4">
                  <c:v>0.16166666666667595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D79-4BDD-8C1A-800ADC66B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84816"/>
        <c:axId val="220489616"/>
      </c:scatterChart>
      <c:valAx>
        <c:axId val="220484816"/>
        <c:scaling>
          <c:orientation val="minMax"/>
          <c:max val="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89616"/>
        <c:crossesAt val="-10"/>
        <c:crossBetween val="midCat"/>
      </c:valAx>
      <c:valAx>
        <c:axId val="220489616"/>
        <c:scaling>
          <c:orientation val="minMax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 (dB re atm)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8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256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(Summary!$S$4,Summary!$S$12,Summary!$S$20)</c:f>
              <c:numCache>
                <c:formatCode>General</c:formatCode>
                <c:ptCount val="3"/>
                <c:pt idx="0">
                  <c:v>16.791999999999998</c:v>
                </c:pt>
                <c:pt idx="1">
                  <c:v>23.743333333333336</c:v>
                </c:pt>
                <c:pt idx="2">
                  <c:v>32.302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F-48B6-A295-9348970E25C5}"/>
            </c:ext>
          </c:extLst>
        </c:ser>
        <c:ser>
          <c:idx val="1"/>
          <c:order val="1"/>
          <c:tx>
            <c:v>427 kPa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(Summary!$U$4,Summary!$U$12,Summary!$U$20)</c:f>
              <c:numCache>
                <c:formatCode>General</c:formatCode>
                <c:ptCount val="3"/>
                <c:pt idx="0">
                  <c:v>22.728000000000002</c:v>
                </c:pt>
                <c:pt idx="1">
                  <c:v>29.98</c:v>
                </c:pt>
                <c:pt idx="2">
                  <c:v>36.769999999999996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F-48B6-A295-9348970E25C5}"/>
            </c:ext>
          </c:extLst>
        </c:ser>
        <c:ser>
          <c:idx val="2"/>
          <c:order val="2"/>
          <c:tx>
            <c:v>586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(Summary!$W$4,Summary!$W$12,Summary!$W$20)</c:f>
              <c:numCache>
                <c:formatCode>General</c:formatCode>
                <c:ptCount val="3"/>
                <c:pt idx="0">
                  <c:v>35.676000000000002</c:v>
                </c:pt>
                <c:pt idx="1">
                  <c:v>43.275000000000006</c:v>
                </c:pt>
                <c:pt idx="2">
                  <c:v>50.963999999999999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DF-48B6-A295-9348970E25C5}"/>
            </c:ext>
          </c:extLst>
        </c:ser>
        <c:ser>
          <c:idx val="3"/>
          <c:order val="3"/>
          <c:tx>
            <c:v>705 kPa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(Summary!$Y$4,Summary!$Y$12,Summary!$Y$20)</c:f>
              <c:numCache>
                <c:formatCode>General</c:formatCode>
                <c:ptCount val="3"/>
                <c:pt idx="0">
                  <c:v>40.410000000000004</c:v>
                </c:pt>
                <c:pt idx="1">
                  <c:v>48.932000000000002</c:v>
                </c:pt>
                <c:pt idx="2">
                  <c:v>55.499999999999993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DF-48B6-A295-9348970E25C5}"/>
            </c:ext>
          </c:extLst>
        </c:ser>
        <c:ser>
          <c:idx val="4"/>
          <c:order val="4"/>
          <c:tx>
            <c:v>120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(Summary!$Q$4,Summary!$Q$12,Summary!$Q$20)</c:f>
              <c:numCache>
                <c:formatCode>General</c:formatCode>
                <c:ptCount val="3"/>
                <c:pt idx="0">
                  <c:v>7.347999999999999</c:v>
                </c:pt>
                <c:pt idx="1">
                  <c:v>15.529999999999998</c:v>
                </c:pt>
                <c:pt idx="2">
                  <c:v>24.903333333333332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DF-48B6-A295-9348970E2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515311"/>
        <c:axId val="1736519631"/>
      </c:scatterChart>
      <c:valAx>
        <c:axId val="173651531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519631"/>
        <c:crosses val="autoZero"/>
        <c:crossBetween val="midCat"/>
      </c:valAx>
      <c:valAx>
        <c:axId val="173651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51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Summary!$V$26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(Summary!$S$4,Summary!$S$12,Summary!$S$20)</c:f>
              <c:numCache>
                <c:formatCode>General</c:formatCode>
                <c:ptCount val="3"/>
                <c:pt idx="0">
                  <c:v>16.791999999999998</c:v>
                </c:pt>
                <c:pt idx="1">
                  <c:v>23.743333333333336</c:v>
                </c:pt>
                <c:pt idx="2">
                  <c:v>32.302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2-42E3-BFDD-2800F3BDB663}"/>
            </c:ext>
          </c:extLst>
        </c:ser>
        <c:ser>
          <c:idx val="1"/>
          <c:order val="1"/>
          <c:tx>
            <c:strRef>
              <c:f>Summary!$V$27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(Summary!$S$5,Summary!$S$13,Summary!$S$21)</c:f>
              <c:numCache>
                <c:formatCode>General</c:formatCode>
                <c:ptCount val="3"/>
                <c:pt idx="0">
                  <c:v>21.176666666666666</c:v>
                </c:pt>
                <c:pt idx="1">
                  <c:v>27.084000000000003</c:v>
                </c:pt>
                <c:pt idx="2">
                  <c:v>35.936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92-42E3-BFDD-2800F3BDB663}"/>
            </c:ext>
          </c:extLst>
        </c:ser>
        <c:ser>
          <c:idx val="2"/>
          <c:order val="2"/>
          <c:tx>
            <c:strRef>
              <c:f>Summary!$V$28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(Summary!$S$6,Summary!$S$14,Summary!$S$22)</c:f>
              <c:numCache>
                <c:formatCode>General</c:formatCode>
                <c:ptCount val="3"/>
                <c:pt idx="0">
                  <c:v>26.320000000000004</c:v>
                </c:pt>
                <c:pt idx="1">
                  <c:v>31.940000000000005</c:v>
                </c:pt>
                <c:pt idx="2">
                  <c:v>38.721666666666664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92-42E3-BFDD-2800F3BDB663}"/>
            </c:ext>
          </c:extLst>
        </c:ser>
        <c:ser>
          <c:idx val="3"/>
          <c:order val="3"/>
          <c:tx>
            <c:strRef>
              <c:f>Summary!$V$29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(Summary!$S$7,Summary!$S$15,Summary!$S$23)</c:f>
              <c:numCache>
                <c:formatCode>General</c:formatCode>
                <c:ptCount val="3"/>
                <c:pt idx="0">
                  <c:v>26.657999999999998</c:v>
                </c:pt>
                <c:pt idx="1">
                  <c:v>34.078333333333333</c:v>
                </c:pt>
                <c:pt idx="2">
                  <c:v>40.768000000000001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92-42E3-BFDD-2800F3BDB663}"/>
            </c:ext>
          </c:extLst>
        </c:ser>
        <c:ser>
          <c:idx val="4"/>
          <c:order val="4"/>
          <c:tx>
            <c:strRef>
              <c:f>Summary!$V$30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(Summary!$S$8,Summary!$S$16,Summary!$S$24)</c:f>
              <c:numCache>
                <c:formatCode>General</c:formatCode>
                <c:ptCount val="3"/>
                <c:pt idx="0">
                  <c:v>22.346666666666664</c:v>
                </c:pt>
                <c:pt idx="1">
                  <c:v>33.650000000000006</c:v>
                </c:pt>
                <c:pt idx="2">
                  <c:v>39.757999999999996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92-42E3-BFDD-2800F3BDB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025983"/>
        <c:axId val="782032703"/>
      </c:scatterChart>
      <c:valAx>
        <c:axId val="782025983"/>
        <c:scaling>
          <c:logBase val="10"/>
          <c:orientation val="minMax"/>
          <c:max val="4000"/>
          <c:min val="2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32703"/>
        <c:crosses val="autoZero"/>
        <c:crossBetween val="midCat"/>
      </c:valAx>
      <c:valAx>
        <c:axId val="782032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25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Concentration v Intensity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CEUS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CEUS!$A$14:$A$16</c:f>
              <c:numCache>
                <c:formatCode>General</c:formatCode>
                <c:ptCount val="3"/>
                <c:pt idx="0">
                  <c:v>24.021999999999998</c:v>
                </c:pt>
                <c:pt idx="1">
                  <c:v>30.96</c:v>
                </c:pt>
                <c:pt idx="2">
                  <c:v>36.771999999999998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12-4A34-A1FF-6A5B2677CB7D}"/>
            </c:ext>
          </c:extLst>
        </c:ser>
        <c:ser>
          <c:idx val="1"/>
          <c:order val="1"/>
          <c:tx>
            <c:v>SUBH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Summary!$AO$5:$AO$7</c:f>
              <c:numCache>
                <c:formatCode>General</c:formatCode>
                <c:ptCount val="3"/>
                <c:pt idx="0">
                  <c:v>18.149999999999999</c:v>
                </c:pt>
                <c:pt idx="1">
                  <c:v>25.95</c:v>
                </c:pt>
                <c:pt idx="2">
                  <c:v>32.735999999999997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12-4A34-A1FF-6A5B2677C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751680"/>
        <c:axId val="1965752640"/>
      </c:scatterChart>
      <c:valAx>
        <c:axId val="1965751680"/>
        <c:scaling>
          <c:logBase val="10"/>
          <c:orientation val="minMax"/>
          <c:min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(MBs/mL)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752640"/>
        <c:crosses val="autoZero"/>
        <c:crossBetween val="midCat"/>
      </c:valAx>
      <c:valAx>
        <c:axId val="1965752640"/>
        <c:scaling>
          <c:orientation val="minMax"/>
          <c:max val="40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 Intensity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75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44792300943529"/>
          <c:y val="0.50803272719924641"/>
          <c:w val="0.16144717703963185"/>
          <c:h val="0.1846252782481964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CEUS Change with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CEUS!$A$1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CEUS!$A$2:$E$2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CEUS!$A$10:$E$10</c:f>
              <c:numCache>
                <c:formatCode>General</c:formatCode>
                <c:ptCount val="5"/>
                <c:pt idx="0">
                  <c:v>24.021999999999998</c:v>
                </c:pt>
                <c:pt idx="1">
                  <c:v>23.623333333333335</c:v>
                </c:pt>
                <c:pt idx="2">
                  <c:v>22.758000000000003</c:v>
                </c:pt>
                <c:pt idx="3">
                  <c:v>24.464000000000002</c:v>
                </c:pt>
                <c:pt idx="4">
                  <c:v>19.791999999999998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5-4FFF-A615-6712347C76AA}"/>
            </c:ext>
          </c:extLst>
        </c:ser>
        <c:ser>
          <c:idx val="1"/>
          <c:order val="1"/>
          <c:tx>
            <c:strRef>
              <c:f>CEUS!$G$1</c:f>
              <c:strCache>
                <c:ptCount val="1"/>
                <c:pt idx="0">
                  <c:v>Medium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CEUS!$G$2:$K$2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CEUS!$G$10:$K$10</c:f>
              <c:numCache>
                <c:formatCode>General</c:formatCode>
                <c:ptCount val="5"/>
                <c:pt idx="0">
                  <c:v>30.96</c:v>
                </c:pt>
                <c:pt idx="1">
                  <c:v>31.53</c:v>
                </c:pt>
                <c:pt idx="2">
                  <c:v>29.646666666666665</c:v>
                </c:pt>
                <c:pt idx="3">
                  <c:v>29.229999999999997</c:v>
                </c:pt>
                <c:pt idx="4">
                  <c:v>29.286000000000001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E5-4FFF-A615-6712347C76AA}"/>
            </c:ext>
          </c:extLst>
        </c:ser>
        <c:ser>
          <c:idx val="2"/>
          <c:order val="2"/>
          <c:tx>
            <c:strRef>
              <c:f>CEUS!$M$1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CEUS!$M$2:$Q$2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CEUS!$M$10:$Q$10</c:f>
              <c:numCache>
                <c:formatCode>General</c:formatCode>
                <c:ptCount val="5"/>
                <c:pt idx="0">
                  <c:v>36.771999999999998</c:v>
                </c:pt>
                <c:pt idx="1">
                  <c:v>35.718000000000004</c:v>
                </c:pt>
                <c:pt idx="2">
                  <c:v>35.166000000000004</c:v>
                </c:pt>
                <c:pt idx="3">
                  <c:v>34.893999999999991</c:v>
                </c:pt>
                <c:pt idx="4">
                  <c:v>34.417999999999992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E5-4FFF-A615-6712347C7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497823"/>
        <c:axId val="1769041583"/>
      </c:scatterChart>
      <c:valAx>
        <c:axId val="782497823"/>
        <c:scaling>
          <c:orientation val="minMax"/>
          <c:max val="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41583"/>
        <c:crosses val="autoZero"/>
        <c:crossBetween val="midCat"/>
      </c:valAx>
      <c:valAx>
        <c:axId val="17690415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 Intensity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97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918569553805776"/>
          <c:y val="0.63584894685948201"/>
          <c:w val="0.50738385826771648"/>
          <c:h val="9.46601377043936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Concentration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31779982941518"/>
          <c:y val="0.15340751043115441"/>
          <c:w val="0.82257112773884578"/>
          <c:h val="0.69562329098221742"/>
        </c:manualLayout>
      </c:layout>
      <c:scatterChart>
        <c:scatterStyle val="lineMarker"/>
        <c:varyColors val="0"/>
        <c:ser>
          <c:idx val="1"/>
          <c:order val="0"/>
          <c:tx>
            <c:v>0 mmHg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'High (2)'!$P$3:$Y$3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(2)'!$P$4:$Y$4</c:f>
              <c:numCache>
                <c:formatCode>General</c:formatCode>
                <c:ptCount val="10"/>
                <c:pt idx="0">
                  <c:v>3.7666666666666662</c:v>
                </c:pt>
                <c:pt idx="1">
                  <c:v>14.151666666666666</c:v>
                </c:pt>
                <c:pt idx="2">
                  <c:v>21.705714285714286</c:v>
                </c:pt>
                <c:pt idx="3">
                  <c:v>22.258333333333336</c:v>
                </c:pt>
                <c:pt idx="4">
                  <c:v>23.161999999999999</c:v>
                </c:pt>
                <c:pt idx="5">
                  <c:v>27.276666666666667</c:v>
                </c:pt>
                <c:pt idx="6">
                  <c:v>36.643333333333331</c:v>
                </c:pt>
                <c:pt idx="7">
                  <c:v>41.594999999999999</c:v>
                </c:pt>
                <c:pt idx="8">
                  <c:v>44.341666666666669</c:v>
                </c:pt>
                <c:pt idx="9">
                  <c:v>46.448333333333331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D-48EF-913B-EAC5A8BC8D04}"/>
            </c:ext>
          </c:extLst>
        </c:ser>
        <c:ser>
          <c:idx val="0"/>
          <c:order val="1"/>
          <c:tx>
            <c:v>20 mmHg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(2)'!$P$3:$Y$3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(2)'!$P$5:$Y$5</c:f>
              <c:numCache>
                <c:formatCode>General</c:formatCode>
                <c:ptCount val="10"/>
                <c:pt idx="0">
                  <c:v>6.8116666666666674</c:v>
                </c:pt>
                <c:pt idx="1">
                  <c:v>17.821666666666665</c:v>
                </c:pt>
                <c:pt idx="2">
                  <c:v>24.116666666666664</c:v>
                </c:pt>
                <c:pt idx="3">
                  <c:v>24.121666666666666</c:v>
                </c:pt>
                <c:pt idx="4">
                  <c:v>24.66</c:v>
                </c:pt>
                <c:pt idx="5">
                  <c:v>27.903333333333332</c:v>
                </c:pt>
                <c:pt idx="6">
                  <c:v>36.656666666666666</c:v>
                </c:pt>
                <c:pt idx="7">
                  <c:v>42.023333333333333</c:v>
                </c:pt>
                <c:pt idx="8">
                  <c:v>45.664999999999999</c:v>
                </c:pt>
                <c:pt idx="9">
                  <c:v>46.938571428571429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8D-48EF-913B-EAC5A8BC8D04}"/>
            </c:ext>
          </c:extLst>
        </c:ser>
        <c:ser>
          <c:idx val="2"/>
          <c:order val="2"/>
          <c:tx>
            <c:v>40 mmHg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'High (2)'!$P$3:$Y$3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(2)'!$P$6:$Y$6</c:f>
              <c:numCache>
                <c:formatCode>General</c:formatCode>
                <c:ptCount val="10"/>
                <c:pt idx="0">
                  <c:v>13.376666666666667</c:v>
                </c:pt>
                <c:pt idx="1">
                  <c:v>26.066666666666663</c:v>
                </c:pt>
                <c:pt idx="2">
                  <c:v>29.558333333333334</c:v>
                </c:pt>
                <c:pt idx="3">
                  <c:v>28.95</c:v>
                </c:pt>
                <c:pt idx="4">
                  <c:v>29.319999999999997</c:v>
                </c:pt>
                <c:pt idx="5">
                  <c:v>30.366666666666664</c:v>
                </c:pt>
                <c:pt idx="6">
                  <c:v>35.275000000000006</c:v>
                </c:pt>
                <c:pt idx="7">
                  <c:v>40.01</c:v>
                </c:pt>
                <c:pt idx="8">
                  <c:v>42.55</c:v>
                </c:pt>
                <c:pt idx="9">
                  <c:v>44.055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8D-48EF-913B-EAC5A8BC8D04}"/>
            </c:ext>
          </c:extLst>
        </c:ser>
        <c:ser>
          <c:idx val="3"/>
          <c:order val="3"/>
          <c:tx>
            <c:v>60 mmHg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'High (2)'!$P$3:$Y$3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(2)'!$P$7:$Y$7</c:f>
              <c:numCache>
                <c:formatCode>General</c:formatCode>
                <c:ptCount val="10"/>
                <c:pt idx="0">
                  <c:v>20.322857142857142</c:v>
                </c:pt>
                <c:pt idx="1">
                  <c:v>28.066666666666666</c:v>
                </c:pt>
                <c:pt idx="2">
                  <c:v>31.283333333333335</c:v>
                </c:pt>
                <c:pt idx="3">
                  <c:v>31.065000000000001</c:v>
                </c:pt>
                <c:pt idx="4">
                  <c:v>30.408333333333335</c:v>
                </c:pt>
                <c:pt idx="5">
                  <c:v>30.971666666666668</c:v>
                </c:pt>
                <c:pt idx="6">
                  <c:v>35.601666666666674</c:v>
                </c:pt>
                <c:pt idx="7">
                  <c:v>40.326666666666668</c:v>
                </c:pt>
                <c:pt idx="8">
                  <c:v>43.234999999999999</c:v>
                </c:pt>
                <c:pt idx="9">
                  <c:v>45.543333333333337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8D-48EF-913B-EAC5A8BC8D04}"/>
            </c:ext>
          </c:extLst>
        </c:ser>
        <c:ser>
          <c:idx val="4"/>
          <c:order val="4"/>
          <c:tx>
            <c:v>80 mmHg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'High (2)'!$P$3:$Y$3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(2)'!$P$8:$Y$8</c:f>
              <c:numCache>
                <c:formatCode>General</c:formatCode>
                <c:ptCount val="10"/>
                <c:pt idx="0">
                  <c:v>21.146666666666665</c:v>
                </c:pt>
                <c:pt idx="1">
                  <c:v>28.2</c:v>
                </c:pt>
                <c:pt idx="2">
                  <c:v>31.934999999999992</c:v>
                </c:pt>
                <c:pt idx="3">
                  <c:v>31.776666666666667</c:v>
                </c:pt>
                <c:pt idx="4">
                  <c:v>30.783333333333331</c:v>
                </c:pt>
                <c:pt idx="5">
                  <c:v>31.101666666666663</c:v>
                </c:pt>
                <c:pt idx="6">
                  <c:v>35.944999999999993</c:v>
                </c:pt>
                <c:pt idx="7">
                  <c:v>41.466666666666669</c:v>
                </c:pt>
                <c:pt idx="8">
                  <c:v>45.028333333333329</c:v>
                </c:pt>
                <c:pt idx="9">
                  <c:v>46.46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8D-48EF-913B-EAC5A8BC8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904463"/>
        <c:axId val="1989902543"/>
      </c:scatterChart>
      <c:valAx>
        <c:axId val="198990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02543"/>
        <c:crosses val="autoZero"/>
        <c:crossBetween val="midCat"/>
      </c:valAx>
      <c:valAx>
        <c:axId val="1989902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0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(2)'!$P$12:$P$16</c:f>
              <c:numCache>
                <c:formatCode>General</c:formatCode>
                <c:ptCount val="5"/>
                <c:pt idx="0">
                  <c:v>0</c:v>
                </c:pt>
                <c:pt idx="1">
                  <c:v>3.0450000000000013</c:v>
                </c:pt>
                <c:pt idx="2">
                  <c:v>9.6100000000000012</c:v>
                </c:pt>
                <c:pt idx="3">
                  <c:v>16.556190476190476</c:v>
                </c:pt>
                <c:pt idx="4">
                  <c:v>17.38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D-4031-BAB4-927E106C973A}"/>
            </c:ext>
          </c:extLst>
        </c:ser>
        <c:ser>
          <c:idx val="1"/>
          <c:order val="1"/>
          <c:tx>
            <c:v>120 kPa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(2)'!$Q$12:$Q$16</c:f>
              <c:numCache>
                <c:formatCode>General</c:formatCode>
                <c:ptCount val="5"/>
                <c:pt idx="0">
                  <c:v>0</c:v>
                </c:pt>
                <c:pt idx="1">
                  <c:v>3.67</c:v>
                </c:pt>
                <c:pt idx="2">
                  <c:v>11.914999999999997</c:v>
                </c:pt>
                <c:pt idx="3">
                  <c:v>13.915000000000001</c:v>
                </c:pt>
                <c:pt idx="4">
                  <c:v>14.048333333333334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5D-4031-BAB4-927E106C973A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(2)'!$R$12:$R$16</c:f>
              <c:numCache>
                <c:formatCode>General</c:formatCode>
                <c:ptCount val="5"/>
                <c:pt idx="0">
                  <c:v>0</c:v>
                </c:pt>
                <c:pt idx="1">
                  <c:v>2.4109523809523772</c:v>
                </c:pt>
                <c:pt idx="2">
                  <c:v>7.8526190476190472</c:v>
                </c:pt>
                <c:pt idx="3">
                  <c:v>9.5776190476190486</c:v>
                </c:pt>
                <c:pt idx="4">
                  <c:v>10.229285714285705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5D-4031-BAB4-927E106C973A}"/>
            </c:ext>
          </c:extLst>
        </c:ser>
        <c:ser>
          <c:idx val="3"/>
          <c:order val="3"/>
          <c:tx>
            <c:v>256 kPa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(2)'!$S$12:$S$16</c:f>
              <c:numCache>
                <c:formatCode>General</c:formatCode>
                <c:ptCount val="5"/>
                <c:pt idx="0">
                  <c:v>0</c:v>
                </c:pt>
                <c:pt idx="1">
                  <c:v>1.8633333333333297</c:v>
                </c:pt>
                <c:pt idx="2">
                  <c:v>6.6916666666666629</c:v>
                </c:pt>
                <c:pt idx="3">
                  <c:v>8.8066666666666649</c:v>
                </c:pt>
                <c:pt idx="4">
                  <c:v>9.5183333333333309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5D-4031-BAB4-927E106C973A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(2)'!$T$12:$T$16</c:f>
              <c:numCache>
                <c:formatCode>General</c:formatCode>
                <c:ptCount val="5"/>
                <c:pt idx="0">
                  <c:v>0</c:v>
                </c:pt>
                <c:pt idx="1">
                  <c:v>1.4980000000000011</c:v>
                </c:pt>
                <c:pt idx="2">
                  <c:v>6.1579999999999977</c:v>
                </c:pt>
                <c:pt idx="3">
                  <c:v>7.246333333333336</c:v>
                </c:pt>
                <c:pt idx="4">
                  <c:v>7.6213333333333324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5D-4031-BAB4-927E106C973A}"/>
            </c:ext>
          </c:extLst>
        </c:ser>
        <c:ser>
          <c:idx val="5"/>
          <c:order val="5"/>
          <c:tx>
            <c:v>427 kPa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(2)'!$U$12:$U$16</c:f>
              <c:numCache>
                <c:formatCode>General</c:formatCode>
                <c:ptCount val="5"/>
                <c:pt idx="0">
                  <c:v>0</c:v>
                </c:pt>
                <c:pt idx="1">
                  <c:v>0.62666666666666515</c:v>
                </c:pt>
                <c:pt idx="2">
                  <c:v>3.0899999999999963</c:v>
                </c:pt>
                <c:pt idx="3">
                  <c:v>3.6950000000000003</c:v>
                </c:pt>
                <c:pt idx="4">
                  <c:v>3.8249999999999957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5D-4031-BAB4-927E106C973A}"/>
            </c:ext>
          </c:extLst>
        </c:ser>
        <c:ser>
          <c:idx val="6"/>
          <c:order val="6"/>
          <c:tx>
            <c:v>522 kPa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(2)'!$V$12:$V$16</c:f>
              <c:numCache>
                <c:formatCode>General</c:formatCode>
                <c:ptCount val="5"/>
                <c:pt idx="0">
                  <c:v>0</c:v>
                </c:pt>
                <c:pt idx="1">
                  <c:v>1.3333333333335418E-2</c:v>
                </c:pt>
                <c:pt idx="2">
                  <c:v>-1.3683333333333252</c:v>
                </c:pt>
                <c:pt idx="3">
                  <c:v>-1.0416666666666572</c:v>
                </c:pt>
                <c:pt idx="4">
                  <c:v>-0.69833333333333769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5D-4031-BAB4-927E106C973A}"/>
            </c:ext>
          </c:extLst>
        </c:ser>
        <c:ser>
          <c:idx val="7"/>
          <c:order val="7"/>
          <c:tx>
            <c:v>586 kPa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(2)'!$W$12:$W$16</c:f>
              <c:numCache>
                <c:formatCode>General</c:formatCode>
                <c:ptCount val="5"/>
                <c:pt idx="0">
                  <c:v>0</c:v>
                </c:pt>
                <c:pt idx="1">
                  <c:v>0.42833333333333456</c:v>
                </c:pt>
                <c:pt idx="2">
                  <c:v>-1.5850000000000009</c:v>
                </c:pt>
                <c:pt idx="3">
                  <c:v>-1.2683333333333309</c:v>
                </c:pt>
                <c:pt idx="4">
                  <c:v>-0.1283333333333303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F5D-4031-BAB4-927E106C973A}"/>
            </c:ext>
          </c:extLst>
        </c:ser>
        <c:ser>
          <c:idx val="8"/>
          <c:order val="8"/>
          <c:tx>
            <c:v>638 kPa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(2)'!$X$12:$X$16</c:f>
              <c:numCache>
                <c:formatCode>General</c:formatCode>
                <c:ptCount val="5"/>
                <c:pt idx="0">
                  <c:v>0</c:v>
                </c:pt>
                <c:pt idx="1">
                  <c:v>1.3233333333333306</c:v>
                </c:pt>
                <c:pt idx="2">
                  <c:v>-1.7916666666666714</c:v>
                </c:pt>
                <c:pt idx="3">
                  <c:v>-1.1066666666666691</c:v>
                </c:pt>
                <c:pt idx="4">
                  <c:v>0.68666666666666032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F5D-4031-BAB4-927E106C973A}"/>
            </c:ext>
          </c:extLst>
        </c:ser>
        <c:ser>
          <c:idx val="9"/>
          <c:order val="9"/>
          <c:tx>
            <c:v>705 kPa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(2)'!$Y$12:$Y$16</c:f>
              <c:numCache>
                <c:formatCode>General</c:formatCode>
                <c:ptCount val="5"/>
                <c:pt idx="0">
                  <c:v>0</c:v>
                </c:pt>
                <c:pt idx="1">
                  <c:v>0.49023809523809803</c:v>
                </c:pt>
                <c:pt idx="2">
                  <c:v>-2.3933333333333309</c:v>
                </c:pt>
                <c:pt idx="3">
                  <c:v>-0.90499999999999403</c:v>
                </c:pt>
                <c:pt idx="4">
                  <c:v>1.1666666666670267E-2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F5D-4031-BAB4-927E106C9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[20251125Concentration.xlsx]20251208_4e3!PivotTable2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'20251208_4e3'!$AI$3:$AI$4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'20251208_4e3'!$AH$5:$AH$15</c:f>
              <c:strCach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strCache>
            </c:strRef>
          </c:cat>
          <c:val>
            <c:numRef>
              <c:f>'20251208_4e3'!$AI$5:$AI$15</c:f>
              <c:numCache>
                <c:formatCode>General</c:formatCode>
                <c:ptCount val="10"/>
                <c:pt idx="0">
                  <c:v>3.7666666666666662</c:v>
                </c:pt>
                <c:pt idx="1">
                  <c:v>14.151666666666666</c:v>
                </c:pt>
                <c:pt idx="2">
                  <c:v>21.705714285714286</c:v>
                </c:pt>
                <c:pt idx="3">
                  <c:v>22.258333333333336</c:v>
                </c:pt>
                <c:pt idx="4">
                  <c:v>23.161999999999999</c:v>
                </c:pt>
                <c:pt idx="5">
                  <c:v>27.276666666666667</c:v>
                </c:pt>
                <c:pt idx="6">
                  <c:v>36.643333333333331</c:v>
                </c:pt>
                <c:pt idx="7">
                  <c:v>41.594999999999999</c:v>
                </c:pt>
                <c:pt idx="8">
                  <c:v>44.341666666666669</c:v>
                </c:pt>
                <c:pt idx="9">
                  <c:v>46.448333333333331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F-4507-ACD5-B3A55BF14515}"/>
            </c:ext>
          </c:extLst>
        </c:ser>
        <c:ser>
          <c:idx val="1"/>
          <c:order val="1"/>
          <c:tx>
            <c:strRef>
              <c:f>'20251208_4e3'!$AJ$3:$AJ$4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'20251208_4e3'!$AH$5:$AH$15</c:f>
              <c:strCach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strCache>
            </c:strRef>
          </c:cat>
          <c:val>
            <c:numRef>
              <c:f>'20251208_4e3'!$AJ$5:$AJ$15</c:f>
              <c:numCache>
                <c:formatCode>General</c:formatCode>
                <c:ptCount val="10"/>
                <c:pt idx="0">
                  <c:v>6.8116666666666674</c:v>
                </c:pt>
                <c:pt idx="1">
                  <c:v>17.821666666666665</c:v>
                </c:pt>
                <c:pt idx="2">
                  <c:v>24.116666666666664</c:v>
                </c:pt>
                <c:pt idx="3">
                  <c:v>24.121666666666666</c:v>
                </c:pt>
                <c:pt idx="4">
                  <c:v>24.66</c:v>
                </c:pt>
                <c:pt idx="5">
                  <c:v>27.903333333333332</c:v>
                </c:pt>
                <c:pt idx="6">
                  <c:v>36.656666666666666</c:v>
                </c:pt>
                <c:pt idx="7">
                  <c:v>42.023333333333333</c:v>
                </c:pt>
                <c:pt idx="8">
                  <c:v>45.664999999999999</c:v>
                </c:pt>
                <c:pt idx="9">
                  <c:v>46.938571428571429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7F-4507-ACD5-B3A55BF14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6857183"/>
        <c:axId val="1486855743"/>
      </c:lineChart>
      <c:catAx>
        <c:axId val="14868571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55743"/>
        <c:crosses val="autoZero"/>
        <c:auto val="1"/>
        <c:lblAlgn val="ctr"/>
        <c:lblOffset val="100"/>
        <c:noMultiLvlLbl val="0"/>
      </c:catAx>
      <c:valAx>
        <c:axId val="1486855743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5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'20251208_4e3'!$D$1:$D$22</c:f>
              <c:strCache>
                <c:ptCount val="22"/>
                <c:pt idx="0">
                  <c:v>PSI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'20251208_4e3'!$K$1:$K$22</c:f>
              <c:strCache>
                <c:ptCount val="22"/>
                <c:pt idx="0">
                  <c:v>Average After Gain Adjustment</c:v>
                </c:pt>
                <c:pt idx="1">
                  <c:v>3.766666667</c:v>
                </c:pt>
                <c:pt idx="2">
                  <c:v>14.15166667</c:v>
                </c:pt>
                <c:pt idx="3">
                  <c:v>21.70571429</c:v>
                </c:pt>
                <c:pt idx="4">
                  <c:v>22.25833333</c:v>
                </c:pt>
                <c:pt idx="5">
                  <c:v>23.162</c:v>
                </c:pt>
                <c:pt idx="6">
                  <c:v>27.27666667</c:v>
                </c:pt>
                <c:pt idx="7">
                  <c:v>36.64333333</c:v>
                </c:pt>
                <c:pt idx="8">
                  <c:v>41.595</c:v>
                </c:pt>
                <c:pt idx="9">
                  <c:v>44.34166667</c:v>
                </c:pt>
                <c:pt idx="10">
                  <c:v>46.44833333</c:v>
                </c:pt>
                <c:pt idx="11">
                  <c:v>6.811666667</c:v>
                </c:pt>
                <c:pt idx="12">
                  <c:v>17.82166667</c:v>
                </c:pt>
                <c:pt idx="13">
                  <c:v>24.11666667</c:v>
                </c:pt>
                <c:pt idx="14">
                  <c:v>24.12166667</c:v>
                </c:pt>
                <c:pt idx="15">
                  <c:v>24.66</c:v>
                </c:pt>
                <c:pt idx="16">
                  <c:v>27.90333333</c:v>
                </c:pt>
                <c:pt idx="17">
                  <c:v>36.65666667</c:v>
                </c:pt>
                <c:pt idx="18">
                  <c:v>42.02333333</c:v>
                </c:pt>
                <c:pt idx="19">
                  <c:v>45.665</c:v>
                </c:pt>
                <c:pt idx="20">
                  <c:v>46.93857143</c:v>
                </c:pt>
                <c:pt idx="21">
                  <c:v>38.44833333</c:v>
                </c:pt>
              </c:strCache>
            </c:strRef>
          </c:xVal>
          <c:yVal>
            <c:numRef>
              <c:f>'20251208_4e3'!$G$1:$G$22</c:f>
              <c:numCache>
                <c:formatCode>0.00</c:formatCode>
                <c:ptCount val="22"/>
                <c:pt idx="0" formatCode="0">
                  <c:v>0</c:v>
                </c:pt>
                <c:pt idx="1">
                  <c:v>34.830710526315791</c:v>
                </c:pt>
                <c:pt idx="2">
                  <c:v>73.047736842105266</c:v>
                </c:pt>
                <c:pt idx="3">
                  <c:v>163.95705263157896</c:v>
                </c:pt>
                <c:pt idx="4">
                  <c:v>256.44615789473687</c:v>
                </c:pt>
                <c:pt idx="5">
                  <c:v>352.60005263157893</c:v>
                </c:pt>
                <c:pt idx="6">
                  <c:v>427.22613157894739</c:v>
                </c:pt>
                <c:pt idx="7">
                  <c:v>521.49989473684207</c:v>
                </c:pt>
                <c:pt idx="8">
                  <c:v>586.33578947368426</c:v>
                </c:pt>
                <c:pt idx="9">
                  <c:v>637.71905263157896</c:v>
                </c:pt>
                <c:pt idx="10">
                  <c:v>705.05297368421054</c:v>
                </c:pt>
                <c:pt idx="11">
                  <c:v>34.830710526315791</c:v>
                </c:pt>
                <c:pt idx="12">
                  <c:v>73.047736842105266</c:v>
                </c:pt>
                <c:pt idx="13">
                  <c:v>163.95705263157896</c:v>
                </c:pt>
                <c:pt idx="14">
                  <c:v>256.44615789473687</c:v>
                </c:pt>
                <c:pt idx="15">
                  <c:v>352.60005263157893</c:v>
                </c:pt>
                <c:pt idx="16">
                  <c:v>427.22613157894739</c:v>
                </c:pt>
                <c:pt idx="17">
                  <c:v>521.49989473684207</c:v>
                </c:pt>
                <c:pt idx="18">
                  <c:v>586.33578947368426</c:v>
                </c:pt>
                <c:pt idx="19">
                  <c:v>637.71905263157896</c:v>
                </c:pt>
                <c:pt idx="20">
                  <c:v>705.05297368421054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4B4-4636-892B-EE44BD8D5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547103"/>
        <c:axId val="1907547583"/>
      </c:scatterChart>
      <c:valAx>
        <c:axId val="190754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47583"/>
        <c:crosses val="autoZero"/>
        <c:crossBetween val="midCat"/>
      </c:valAx>
      <c:valAx>
        <c:axId val="190754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47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'20251208_4e3'!$A$2:$C$22</c:f>
              <c:multiLvlStrCache>
                <c:ptCount val="21"/>
                <c:lvl>
                  <c:pt idx="0">
                    <c:v>ROI 1</c:v>
                  </c:pt>
                  <c:pt idx="1">
                    <c:v>ROI 1</c:v>
                  </c:pt>
                  <c:pt idx="2">
                    <c:v>ROI 1</c:v>
                  </c:pt>
                  <c:pt idx="3">
                    <c:v>ROI 1</c:v>
                  </c:pt>
                  <c:pt idx="4">
                    <c:v>ROI 1</c:v>
                  </c:pt>
                  <c:pt idx="5">
                    <c:v>ROI 1</c:v>
                  </c:pt>
                  <c:pt idx="6">
                    <c:v>ROI 1</c:v>
                  </c:pt>
                  <c:pt idx="7">
                    <c:v>ROI 1</c:v>
                  </c:pt>
                  <c:pt idx="8">
                    <c:v>ROI 1</c:v>
                  </c:pt>
                  <c:pt idx="9">
                    <c:v>ROI 1</c:v>
                  </c:pt>
                  <c:pt idx="10">
                    <c:v>ROI 1</c:v>
                  </c:pt>
                  <c:pt idx="11">
                    <c:v>ROI 1</c:v>
                  </c:pt>
                  <c:pt idx="12">
                    <c:v>ROI 1</c:v>
                  </c:pt>
                  <c:pt idx="13">
                    <c:v>ROI 1</c:v>
                  </c:pt>
                  <c:pt idx="14">
                    <c:v>ROI 1</c:v>
                  </c:pt>
                  <c:pt idx="15">
                    <c:v>ROI 1</c:v>
                  </c:pt>
                  <c:pt idx="16">
                    <c:v>ROI 1</c:v>
                  </c:pt>
                  <c:pt idx="17">
                    <c:v>ROI 1</c:v>
                  </c:pt>
                  <c:pt idx="18">
                    <c:v>ROI 1</c:v>
                  </c:pt>
                  <c:pt idx="19">
                    <c:v>ROI 1</c:v>
                  </c:pt>
                  <c:pt idx="20">
                    <c:v>ROI 1</c:v>
                  </c:pt>
                </c:lvl>
                <c:lvl>
                  <c:pt idx="0">
                    <c:v>00_74</c:v>
                  </c:pt>
                  <c:pt idx="1">
                    <c:v>00_69</c:v>
                  </c:pt>
                  <c:pt idx="2">
                    <c:v>00_62</c:v>
                  </c:pt>
                  <c:pt idx="3">
                    <c:v>00_57</c:v>
                  </c:pt>
                  <c:pt idx="4">
                    <c:v>00_53</c:v>
                  </c:pt>
                  <c:pt idx="5">
                    <c:v>00_50</c:v>
                  </c:pt>
                  <c:pt idx="6">
                    <c:v>00_47</c:v>
                  </c:pt>
                  <c:pt idx="7">
                    <c:v>00_45</c:v>
                  </c:pt>
                  <c:pt idx="8">
                    <c:v>00_43</c:v>
                  </c:pt>
                  <c:pt idx="9">
                    <c:v>00_41</c:v>
                  </c:pt>
                  <c:pt idx="10">
                    <c:v>04_74</c:v>
                  </c:pt>
                  <c:pt idx="11">
                    <c:v>04_69</c:v>
                  </c:pt>
                  <c:pt idx="12">
                    <c:v>04_62</c:v>
                  </c:pt>
                  <c:pt idx="13">
                    <c:v>04_57</c:v>
                  </c:pt>
                  <c:pt idx="14">
                    <c:v>04_53</c:v>
                  </c:pt>
                  <c:pt idx="15">
                    <c:v>04_50</c:v>
                  </c:pt>
                  <c:pt idx="16">
                    <c:v>04_47</c:v>
                  </c:pt>
                  <c:pt idx="17">
                    <c:v>04_45</c:v>
                  </c:pt>
                  <c:pt idx="18">
                    <c:v>04_43</c:v>
                  </c:pt>
                  <c:pt idx="19">
                    <c:v>04_41</c:v>
                  </c:pt>
                  <c:pt idx="20">
                    <c:v>00_41</c:v>
                  </c:pt>
                </c:lvl>
                <c:lvl>
                  <c:pt idx="0">
                    <c:v>IM0001</c:v>
                  </c:pt>
                  <c:pt idx="1">
                    <c:v>IM0002</c:v>
                  </c:pt>
                  <c:pt idx="2">
                    <c:v>IM0003</c:v>
                  </c:pt>
                  <c:pt idx="3">
                    <c:v>IM0004</c:v>
                  </c:pt>
                  <c:pt idx="4">
                    <c:v>IM0005</c:v>
                  </c:pt>
                  <c:pt idx="5">
                    <c:v>IM0006</c:v>
                  </c:pt>
                  <c:pt idx="6">
                    <c:v>IM0007</c:v>
                  </c:pt>
                  <c:pt idx="7">
                    <c:v>IM0008</c:v>
                  </c:pt>
                  <c:pt idx="8">
                    <c:v>IM0009</c:v>
                  </c:pt>
                  <c:pt idx="9">
                    <c:v>IM0010</c:v>
                  </c:pt>
                  <c:pt idx="10">
                    <c:v>IM0011</c:v>
                  </c:pt>
                  <c:pt idx="11">
                    <c:v>IM0012</c:v>
                  </c:pt>
                  <c:pt idx="12">
                    <c:v>IM0013</c:v>
                  </c:pt>
                  <c:pt idx="13">
                    <c:v>IM0014</c:v>
                  </c:pt>
                  <c:pt idx="14">
                    <c:v>IM0015</c:v>
                  </c:pt>
                  <c:pt idx="15">
                    <c:v>IM0016</c:v>
                  </c:pt>
                  <c:pt idx="16">
                    <c:v>IM0017</c:v>
                  </c:pt>
                  <c:pt idx="17">
                    <c:v>IM0018</c:v>
                  </c:pt>
                  <c:pt idx="18">
                    <c:v>IM0019</c:v>
                  </c:pt>
                  <c:pt idx="19">
                    <c:v>IM0020</c:v>
                  </c:pt>
                </c:lvl>
              </c:multiLvlStrCache>
            </c:multiLvlStrRef>
          </c:xVal>
          <c:yVal>
            <c:numRef>
              <c:f>'20251208_4e3'!$E$2:$E$22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33-46C5-BC7F-76E28531CCE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'20251208_4e3'!$A$2:$C$22</c:f>
              <c:multiLvlStrCache>
                <c:ptCount val="21"/>
                <c:lvl>
                  <c:pt idx="0">
                    <c:v>ROI 1</c:v>
                  </c:pt>
                  <c:pt idx="1">
                    <c:v>ROI 1</c:v>
                  </c:pt>
                  <c:pt idx="2">
                    <c:v>ROI 1</c:v>
                  </c:pt>
                  <c:pt idx="3">
                    <c:v>ROI 1</c:v>
                  </c:pt>
                  <c:pt idx="4">
                    <c:v>ROI 1</c:v>
                  </c:pt>
                  <c:pt idx="5">
                    <c:v>ROI 1</c:v>
                  </c:pt>
                  <c:pt idx="6">
                    <c:v>ROI 1</c:v>
                  </c:pt>
                  <c:pt idx="7">
                    <c:v>ROI 1</c:v>
                  </c:pt>
                  <c:pt idx="8">
                    <c:v>ROI 1</c:v>
                  </c:pt>
                  <c:pt idx="9">
                    <c:v>ROI 1</c:v>
                  </c:pt>
                  <c:pt idx="10">
                    <c:v>ROI 1</c:v>
                  </c:pt>
                  <c:pt idx="11">
                    <c:v>ROI 1</c:v>
                  </c:pt>
                  <c:pt idx="12">
                    <c:v>ROI 1</c:v>
                  </c:pt>
                  <c:pt idx="13">
                    <c:v>ROI 1</c:v>
                  </c:pt>
                  <c:pt idx="14">
                    <c:v>ROI 1</c:v>
                  </c:pt>
                  <c:pt idx="15">
                    <c:v>ROI 1</c:v>
                  </c:pt>
                  <c:pt idx="16">
                    <c:v>ROI 1</c:v>
                  </c:pt>
                  <c:pt idx="17">
                    <c:v>ROI 1</c:v>
                  </c:pt>
                  <c:pt idx="18">
                    <c:v>ROI 1</c:v>
                  </c:pt>
                  <c:pt idx="19">
                    <c:v>ROI 1</c:v>
                  </c:pt>
                  <c:pt idx="20">
                    <c:v>ROI 1</c:v>
                  </c:pt>
                </c:lvl>
                <c:lvl>
                  <c:pt idx="0">
                    <c:v>00_74</c:v>
                  </c:pt>
                  <c:pt idx="1">
                    <c:v>00_69</c:v>
                  </c:pt>
                  <c:pt idx="2">
                    <c:v>00_62</c:v>
                  </c:pt>
                  <c:pt idx="3">
                    <c:v>00_57</c:v>
                  </c:pt>
                  <c:pt idx="4">
                    <c:v>00_53</c:v>
                  </c:pt>
                  <c:pt idx="5">
                    <c:v>00_50</c:v>
                  </c:pt>
                  <c:pt idx="6">
                    <c:v>00_47</c:v>
                  </c:pt>
                  <c:pt idx="7">
                    <c:v>00_45</c:v>
                  </c:pt>
                  <c:pt idx="8">
                    <c:v>00_43</c:v>
                  </c:pt>
                  <c:pt idx="9">
                    <c:v>00_41</c:v>
                  </c:pt>
                  <c:pt idx="10">
                    <c:v>04_74</c:v>
                  </c:pt>
                  <c:pt idx="11">
                    <c:v>04_69</c:v>
                  </c:pt>
                  <c:pt idx="12">
                    <c:v>04_62</c:v>
                  </c:pt>
                  <c:pt idx="13">
                    <c:v>04_57</c:v>
                  </c:pt>
                  <c:pt idx="14">
                    <c:v>04_53</c:v>
                  </c:pt>
                  <c:pt idx="15">
                    <c:v>04_50</c:v>
                  </c:pt>
                  <c:pt idx="16">
                    <c:v>04_47</c:v>
                  </c:pt>
                  <c:pt idx="17">
                    <c:v>04_45</c:v>
                  </c:pt>
                  <c:pt idx="18">
                    <c:v>04_43</c:v>
                  </c:pt>
                  <c:pt idx="19">
                    <c:v>04_41</c:v>
                  </c:pt>
                  <c:pt idx="20">
                    <c:v>00_41</c:v>
                  </c:pt>
                </c:lvl>
                <c:lvl>
                  <c:pt idx="0">
                    <c:v>IM0001</c:v>
                  </c:pt>
                  <c:pt idx="1">
                    <c:v>IM0002</c:v>
                  </c:pt>
                  <c:pt idx="2">
                    <c:v>IM0003</c:v>
                  </c:pt>
                  <c:pt idx="3">
                    <c:v>IM0004</c:v>
                  </c:pt>
                  <c:pt idx="4">
                    <c:v>IM0005</c:v>
                  </c:pt>
                  <c:pt idx="5">
                    <c:v>IM0006</c:v>
                  </c:pt>
                  <c:pt idx="6">
                    <c:v>IM0007</c:v>
                  </c:pt>
                  <c:pt idx="7">
                    <c:v>IM0008</c:v>
                  </c:pt>
                  <c:pt idx="8">
                    <c:v>IM0009</c:v>
                  </c:pt>
                  <c:pt idx="9">
                    <c:v>IM0010</c:v>
                  </c:pt>
                  <c:pt idx="10">
                    <c:v>IM0011</c:v>
                  </c:pt>
                  <c:pt idx="11">
                    <c:v>IM0012</c:v>
                  </c:pt>
                  <c:pt idx="12">
                    <c:v>IM0013</c:v>
                  </c:pt>
                  <c:pt idx="13">
                    <c:v>IM0014</c:v>
                  </c:pt>
                  <c:pt idx="14">
                    <c:v>IM0015</c:v>
                  </c:pt>
                  <c:pt idx="15">
                    <c:v>IM0016</c:v>
                  </c:pt>
                  <c:pt idx="16">
                    <c:v>IM0017</c:v>
                  </c:pt>
                  <c:pt idx="17">
                    <c:v>IM0018</c:v>
                  </c:pt>
                  <c:pt idx="18">
                    <c:v>IM0019</c:v>
                  </c:pt>
                  <c:pt idx="19">
                    <c:v>IM0020</c:v>
                  </c:pt>
                </c:lvl>
              </c:multiLvlStrCache>
            </c:multiLvlStrRef>
          </c:xVal>
          <c:yVal>
            <c:numRef>
              <c:f>'20251208_4e3'!$F$2:$F$22</c:f>
              <c:numCache>
                <c:formatCode>General</c:formatCode>
                <c:ptCount val="21"/>
                <c:pt idx="0">
                  <c:v>74</c:v>
                </c:pt>
                <c:pt idx="1">
                  <c:v>69</c:v>
                </c:pt>
                <c:pt idx="2">
                  <c:v>62</c:v>
                </c:pt>
                <c:pt idx="3">
                  <c:v>57</c:v>
                </c:pt>
                <c:pt idx="4">
                  <c:v>53</c:v>
                </c:pt>
                <c:pt idx="5">
                  <c:v>50</c:v>
                </c:pt>
                <c:pt idx="6">
                  <c:v>47</c:v>
                </c:pt>
                <c:pt idx="7">
                  <c:v>45</c:v>
                </c:pt>
                <c:pt idx="8">
                  <c:v>43</c:v>
                </c:pt>
                <c:pt idx="9">
                  <c:v>41</c:v>
                </c:pt>
                <c:pt idx="10">
                  <c:v>74</c:v>
                </c:pt>
                <c:pt idx="11">
                  <c:v>69</c:v>
                </c:pt>
                <c:pt idx="12">
                  <c:v>62</c:v>
                </c:pt>
                <c:pt idx="13">
                  <c:v>57</c:v>
                </c:pt>
                <c:pt idx="14">
                  <c:v>53</c:v>
                </c:pt>
                <c:pt idx="15">
                  <c:v>50</c:v>
                </c:pt>
                <c:pt idx="16">
                  <c:v>47</c:v>
                </c:pt>
                <c:pt idx="17">
                  <c:v>45</c:v>
                </c:pt>
                <c:pt idx="18">
                  <c:v>43</c:v>
                </c:pt>
                <c:pt idx="19">
                  <c:v>41</c:v>
                </c:pt>
                <c:pt idx="20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33-46C5-BC7F-76E28531CCE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'20251208_4e3'!$A$2:$C$22</c:f>
              <c:multiLvlStrCache>
                <c:ptCount val="21"/>
                <c:lvl>
                  <c:pt idx="0">
                    <c:v>ROI 1</c:v>
                  </c:pt>
                  <c:pt idx="1">
                    <c:v>ROI 1</c:v>
                  </c:pt>
                  <c:pt idx="2">
                    <c:v>ROI 1</c:v>
                  </c:pt>
                  <c:pt idx="3">
                    <c:v>ROI 1</c:v>
                  </c:pt>
                  <c:pt idx="4">
                    <c:v>ROI 1</c:v>
                  </c:pt>
                  <c:pt idx="5">
                    <c:v>ROI 1</c:v>
                  </c:pt>
                  <c:pt idx="6">
                    <c:v>ROI 1</c:v>
                  </c:pt>
                  <c:pt idx="7">
                    <c:v>ROI 1</c:v>
                  </c:pt>
                  <c:pt idx="8">
                    <c:v>ROI 1</c:v>
                  </c:pt>
                  <c:pt idx="9">
                    <c:v>ROI 1</c:v>
                  </c:pt>
                  <c:pt idx="10">
                    <c:v>ROI 1</c:v>
                  </c:pt>
                  <c:pt idx="11">
                    <c:v>ROI 1</c:v>
                  </c:pt>
                  <c:pt idx="12">
                    <c:v>ROI 1</c:v>
                  </c:pt>
                  <c:pt idx="13">
                    <c:v>ROI 1</c:v>
                  </c:pt>
                  <c:pt idx="14">
                    <c:v>ROI 1</c:v>
                  </c:pt>
                  <c:pt idx="15">
                    <c:v>ROI 1</c:v>
                  </c:pt>
                  <c:pt idx="16">
                    <c:v>ROI 1</c:v>
                  </c:pt>
                  <c:pt idx="17">
                    <c:v>ROI 1</c:v>
                  </c:pt>
                  <c:pt idx="18">
                    <c:v>ROI 1</c:v>
                  </c:pt>
                  <c:pt idx="19">
                    <c:v>ROI 1</c:v>
                  </c:pt>
                  <c:pt idx="20">
                    <c:v>ROI 1</c:v>
                  </c:pt>
                </c:lvl>
                <c:lvl>
                  <c:pt idx="0">
                    <c:v>00_74</c:v>
                  </c:pt>
                  <c:pt idx="1">
                    <c:v>00_69</c:v>
                  </c:pt>
                  <c:pt idx="2">
                    <c:v>00_62</c:v>
                  </c:pt>
                  <c:pt idx="3">
                    <c:v>00_57</c:v>
                  </c:pt>
                  <c:pt idx="4">
                    <c:v>00_53</c:v>
                  </c:pt>
                  <c:pt idx="5">
                    <c:v>00_50</c:v>
                  </c:pt>
                  <c:pt idx="6">
                    <c:v>00_47</c:v>
                  </c:pt>
                  <c:pt idx="7">
                    <c:v>00_45</c:v>
                  </c:pt>
                  <c:pt idx="8">
                    <c:v>00_43</c:v>
                  </c:pt>
                  <c:pt idx="9">
                    <c:v>00_41</c:v>
                  </c:pt>
                  <c:pt idx="10">
                    <c:v>04_74</c:v>
                  </c:pt>
                  <c:pt idx="11">
                    <c:v>04_69</c:v>
                  </c:pt>
                  <c:pt idx="12">
                    <c:v>04_62</c:v>
                  </c:pt>
                  <c:pt idx="13">
                    <c:v>04_57</c:v>
                  </c:pt>
                  <c:pt idx="14">
                    <c:v>04_53</c:v>
                  </c:pt>
                  <c:pt idx="15">
                    <c:v>04_50</c:v>
                  </c:pt>
                  <c:pt idx="16">
                    <c:v>04_47</c:v>
                  </c:pt>
                  <c:pt idx="17">
                    <c:v>04_45</c:v>
                  </c:pt>
                  <c:pt idx="18">
                    <c:v>04_43</c:v>
                  </c:pt>
                  <c:pt idx="19">
                    <c:v>04_41</c:v>
                  </c:pt>
                  <c:pt idx="20">
                    <c:v>00_41</c:v>
                  </c:pt>
                </c:lvl>
                <c:lvl>
                  <c:pt idx="0">
                    <c:v>IM0001</c:v>
                  </c:pt>
                  <c:pt idx="1">
                    <c:v>IM0002</c:v>
                  </c:pt>
                  <c:pt idx="2">
                    <c:v>IM0003</c:v>
                  </c:pt>
                  <c:pt idx="3">
                    <c:v>IM0004</c:v>
                  </c:pt>
                  <c:pt idx="4">
                    <c:v>IM0005</c:v>
                  </c:pt>
                  <c:pt idx="5">
                    <c:v>IM0006</c:v>
                  </c:pt>
                  <c:pt idx="6">
                    <c:v>IM0007</c:v>
                  </c:pt>
                  <c:pt idx="7">
                    <c:v>IM0008</c:v>
                  </c:pt>
                  <c:pt idx="8">
                    <c:v>IM0009</c:v>
                  </c:pt>
                  <c:pt idx="9">
                    <c:v>IM0010</c:v>
                  </c:pt>
                  <c:pt idx="10">
                    <c:v>IM0011</c:v>
                  </c:pt>
                  <c:pt idx="11">
                    <c:v>IM0012</c:v>
                  </c:pt>
                  <c:pt idx="12">
                    <c:v>IM0013</c:v>
                  </c:pt>
                  <c:pt idx="13">
                    <c:v>IM0014</c:v>
                  </c:pt>
                  <c:pt idx="14">
                    <c:v>IM0015</c:v>
                  </c:pt>
                  <c:pt idx="15">
                    <c:v>IM0016</c:v>
                  </c:pt>
                  <c:pt idx="16">
                    <c:v>IM0017</c:v>
                  </c:pt>
                  <c:pt idx="17">
                    <c:v>IM0018</c:v>
                  </c:pt>
                  <c:pt idx="18">
                    <c:v>IM0019</c:v>
                  </c:pt>
                  <c:pt idx="19">
                    <c:v>IM0020</c:v>
                  </c:pt>
                </c:lvl>
              </c:multiLvlStrCache>
            </c:multiLvlStrRef>
          </c:xVal>
          <c:yVal>
            <c:numRef>
              <c:f>'20251208_4e3'!$G$2:$G$22</c:f>
              <c:numCache>
                <c:formatCode>0.00</c:formatCode>
                <c:ptCount val="21"/>
                <c:pt idx="0">
                  <c:v>34.830710526315791</c:v>
                </c:pt>
                <c:pt idx="1">
                  <c:v>73.047736842105266</c:v>
                </c:pt>
                <c:pt idx="2">
                  <c:v>163.95705263157896</c:v>
                </c:pt>
                <c:pt idx="3">
                  <c:v>256.44615789473687</c:v>
                </c:pt>
                <c:pt idx="4">
                  <c:v>352.60005263157893</c:v>
                </c:pt>
                <c:pt idx="5">
                  <c:v>427.22613157894739</c:v>
                </c:pt>
                <c:pt idx="6">
                  <c:v>521.49989473684207</c:v>
                </c:pt>
                <c:pt idx="7">
                  <c:v>586.33578947368426</c:v>
                </c:pt>
                <c:pt idx="8">
                  <c:v>637.71905263157896</c:v>
                </c:pt>
                <c:pt idx="9">
                  <c:v>705.05297368421054</c:v>
                </c:pt>
                <c:pt idx="10">
                  <c:v>34.830710526315791</c:v>
                </c:pt>
                <c:pt idx="11">
                  <c:v>73.047736842105266</c:v>
                </c:pt>
                <c:pt idx="12">
                  <c:v>163.95705263157896</c:v>
                </c:pt>
                <c:pt idx="13">
                  <c:v>256.44615789473687</c:v>
                </c:pt>
                <c:pt idx="14">
                  <c:v>352.60005263157893</c:v>
                </c:pt>
                <c:pt idx="15">
                  <c:v>427.22613157894739</c:v>
                </c:pt>
                <c:pt idx="16">
                  <c:v>521.49989473684207</c:v>
                </c:pt>
                <c:pt idx="17">
                  <c:v>586.33578947368426</c:v>
                </c:pt>
                <c:pt idx="18">
                  <c:v>637.71905263157896</c:v>
                </c:pt>
                <c:pt idx="19">
                  <c:v>705.05297368421054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33-46C5-BC7F-76E28531CCE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'20251208_4e3'!$A$2:$C$22</c:f>
              <c:multiLvlStrCache>
                <c:ptCount val="21"/>
                <c:lvl>
                  <c:pt idx="0">
                    <c:v>ROI 1</c:v>
                  </c:pt>
                  <c:pt idx="1">
                    <c:v>ROI 1</c:v>
                  </c:pt>
                  <c:pt idx="2">
                    <c:v>ROI 1</c:v>
                  </c:pt>
                  <c:pt idx="3">
                    <c:v>ROI 1</c:v>
                  </c:pt>
                  <c:pt idx="4">
                    <c:v>ROI 1</c:v>
                  </c:pt>
                  <c:pt idx="5">
                    <c:v>ROI 1</c:v>
                  </c:pt>
                  <c:pt idx="6">
                    <c:v>ROI 1</c:v>
                  </c:pt>
                  <c:pt idx="7">
                    <c:v>ROI 1</c:v>
                  </c:pt>
                  <c:pt idx="8">
                    <c:v>ROI 1</c:v>
                  </c:pt>
                  <c:pt idx="9">
                    <c:v>ROI 1</c:v>
                  </c:pt>
                  <c:pt idx="10">
                    <c:v>ROI 1</c:v>
                  </c:pt>
                  <c:pt idx="11">
                    <c:v>ROI 1</c:v>
                  </c:pt>
                  <c:pt idx="12">
                    <c:v>ROI 1</c:v>
                  </c:pt>
                  <c:pt idx="13">
                    <c:v>ROI 1</c:v>
                  </c:pt>
                  <c:pt idx="14">
                    <c:v>ROI 1</c:v>
                  </c:pt>
                  <c:pt idx="15">
                    <c:v>ROI 1</c:v>
                  </c:pt>
                  <c:pt idx="16">
                    <c:v>ROI 1</c:v>
                  </c:pt>
                  <c:pt idx="17">
                    <c:v>ROI 1</c:v>
                  </c:pt>
                  <c:pt idx="18">
                    <c:v>ROI 1</c:v>
                  </c:pt>
                  <c:pt idx="19">
                    <c:v>ROI 1</c:v>
                  </c:pt>
                  <c:pt idx="20">
                    <c:v>ROI 1</c:v>
                  </c:pt>
                </c:lvl>
                <c:lvl>
                  <c:pt idx="0">
                    <c:v>00_74</c:v>
                  </c:pt>
                  <c:pt idx="1">
                    <c:v>00_69</c:v>
                  </c:pt>
                  <c:pt idx="2">
                    <c:v>00_62</c:v>
                  </c:pt>
                  <c:pt idx="3">
                    <c:v>00_57</c:v>
                  </c:pt>
                  <c:pt idx="4">
                    <c:v>00_53</c:v>
                  </c:pt>
                  <c:pt idx="5">
                    <c:v>00_50</c:v>
                  </c:pt>
                  <c:pt idx="6">
                    <c:v>00_47</c:v>
                  </c:pt>
                  <c:pt idx="7">
                    <c:v>00_45</c:v>
                  </c:pt>
                  <c:pt idx="8">
                    <c:v>00_43</c:v>
                  </c:pt>
                  <c:pt idx="9">
                    <c:v>00_41</c:v>
                  </c:pt>
                  <c:pt idx="10">
                    <c:v>04_74</c:v>
                  </c:pt>
                  <c:pt idx="11">
                    <c:v>04_69</c:v>
                  </c:pt>
                  <c:pt idx="12">
                    <c:v>04_62</c:v>
                  </c:pt>
                  <c:pt idx="13">
                    <c:v>04_57</c:v>
                  </c:pt>
                  <c:pt idx="14">
                    <c:v>04_53</c:v>
                  </c:pt>
                  <c:pt idx="15">
                    <c:v>04_50</c:v>
                  </c:pt>
                  <c:pt idx="16">
                    <c:v>04_47</c:v>
                  </c:pt>
                  <c:pt idx="17">
                    <c:v>04_45</c:v>
                  </c:pt>
                  <c:pt idx="18">
                    <c:v>04_43</c:v>
                  </c:pt>
                  <c:pt idx="19">
                    <c:v>04_41</c:v>
                  </c:pt>
                  <c:pt idx="20">
                    <c:v>00_41</c:v>
                  </c:pt>
                </c:lvl>
                <c:lvl>
                  <c:pt idx="0">
                    <c:v>IM0001</c:v>
                  </c:pt>
                  <c:pt idx="1">
                    <c:v>IM0002</c:v>
                  </c:pt>
                  <c:pt idx="2">
                    <c:v>IM0003</c:v>
                  </c:pt>
                  <c:pt idx="3">
                    <c:v>IM0004</c:v>
                  </c:pt>
                  <c:pt idx="4">
                    <c:v>IM0005</c:v>
                  </c:pt>
                  <c:pt idx="5">
                    <c:v>IM0006</c:v>
                  </c:pt>
                  <c:pt idx="6">
                    <c:v>IM0007</c:v>
                  </c:pt>
                  <c:pt idx="7">
                    <c:v>IM0008</c:v>
                  </c:pt>
                  <c:pt idx="8">
                    <c:v>IM0009</c:v>
                  </c:pt>
                  <c:pt idx="9">
                    <c:v>IM0010</c:v>
                  </c:pt>
                  <c:pt idx="10">
                    <c:v>IM0011</c:v>
                  </c:pt>
                  <c:pt idx="11">
                    <c:v>IM0012</c:v>
                  </c:pt>
                  <c:pt idx="12">
                    <c:v>IM0013</c:v>
                  </c:pt>
                  <c:pt idx="13">
                    <c:v>IM0014</c:v>
                  </c:pt>
                  <c:pt idx="14">
                    <c:v>IM0015</c:v>
                  </c:pt>
                  <c:pt idx="15">
                    <c:v>IM0016</c:v>
                  </c:pt>
                  <c:pt idx="16">
                    <c:v>IM0017</c:v>
                  </c:pt>
                  <c:pt idx="17">
                    <c:v>IM0018</c:v>
                  </c:pt>
                  <c:pt idx="18">
                    <c:v>IM0019</c:v>
                  </c:pt>
                  <c:pt idx="19">
                    <c:v>IM0020</c:v>
                  </c:pt>
                </c:lvl>
              </c:multiLvlStrCache>
            </c:multiLvlStrRef>
          </c:xVal>
          <c:yVal>
            <c:numRef>
              <c:f>'20251208_4e3'!$H$2:$H$22</c:f>
              <c:numCache>
                <c:formatCode>General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3</c:v>
                </c:pt>
                <c:pt idx="11">
                  <c:v>4</c:v>
                </c:pt>
                <c:pt idx="12">
                  <c:v>6</c:v>
                </c:pt>
                <c:pt idx="13">
                  <c:v>8</c:v>
                </c:pt>
                <c:pt idx="14">
                  <c:v>10</c:v>
                </c:pt>
                <c:pt idx="15">
                  <c:v>12</c:v>
                </c:pt>
                <c:pt idx="16">
                  <c:v>14</c:v>
                </c:pt>
                <c:pt idx="17">
                  <c:v>16</c:v>
                </c:pt>
                <c:pt idx="18">
                  <c:v>18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33-46C5-BC7F-76E28531C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584463"/>
        <c:axId val="19205849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'20251208_4e3'!$E$1:$E$22</c15:sqref>
                        </c15:formulaRef>
                      </c:ext>
                    </c:extLst>
                    <c:strCache>
                      <c:ptCount val="22"/>
                      <c:pt idx="0">
                        <c:v>mmHg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20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20</c:v>
                      </c:pt>
                      <c:pt idx="16">
                        <c:v>20</c:v>
                      </c:pt>
                      <c:pt idx="17">
                        <c:v>20</c:v>
                      </c:pt>
                      <c:pt idx="18">
                        <c:v>20</c:v>
                      </c:pt>
                      <c:pt idx="19">
                        <c:v>20</c:v>
                      </c:pt>
                      <c:pt idx="20">
                        <c:v>20</c:v>
                      </c:pt>
                      <c:pt idx="21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'20251208_4e3'!$G$1:$G$21</c15:sqref>
                        </c15:formulaRef>
                      </c:ext>
                    </c:extLst>
                    <c:strCache>
                      <c:ptCount val="21"/>
                      <c:pt idx="0">
                        <c:v>kPa</c:v>
                      </c:pt>
                      <c:pt idx="1">
                        <c:v>34.83</c:v>
                      </c:pt>
                      <c:pt idx="2">
                        <c:v>73.05</c:v>
                      </c:pt>
                      <c:pt idx="3">
                        <c:v>163.96</c:v>
                      </c:pt>
                      <c:pt idx="4">
                        <c:v>256.45</c:v>
                      </c:pt>
                      <c:pt idx="5">
                        <c:v>352.60</c:v>
                      </c:pt>
                      <c:pt idx="6">
                        <c:v>427.23</c:v>
                      </c:pt>
                      <c:pt idx="7">
                        <c:v>521.50</c:v>
                      </c:pt>
                      <c:pt idx="8">
                        <c:v>586.34</c:v>
                      </c:pt>
                      <c:pt idx="9">
                        <c:v>637.72</c:v>
                      </c:pt>
                      <c:pt idx="10">
                        <c:v>705.05</c:v>
                      </c:pt>
                      <c:pt idx="11">
                        <c:v>34.83</c:v>
                      </c:pt>
                      <c:pt idx="12">
                        <c:v>73.05</c:v>
                      </c:pt>
                      <c:pt idx="13">
                        <c:v>163.96</c:v>
                      </c:pt>
                      <c:pt idx="14">
                        <c:v>256.45</c:v>
                      </c:pt>
                      <c:pt idx="15">
                        <c:v>352.60</c:v>
                      </c:pt>
                      <c:pt idx="16">
                        <c:v>427.23</c:v>
                      </c:pt>
                      <c:pt idx="17">
                        <c:v>521.50</c:v>
                      </c:pt>
                      <c:pt idx="18">
                        <c:v>586.34</c:v>
                      </c:pt>
                      <c:pt idx="19">
                        <c:v>637.72</c:v>
                      </c:pt>
                      <c:pt idx="20">
                        <c:v>705.05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'20251208_4e3'!$K$1:$K$22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</c:v>
                      </c:pt>
                      <c:pt idx="1">
                        <c:v>3.7666666666666662</c:v>
                      </c:pt>
                      <c:pt idx="2">
                        <c:v>14.151666666666666</c:v>
                      </c:pt>
                      <c:pt idx="3">
                        <c:v>21.705714285714286</c:v>
                      </c:pt>
                      <c:pt idx="4">
                        <c:v>22.258333333333336</c:v>
                      </c:pt>
                      <c:pt idx="5">
                        <c:v>23.161999999999999</c:v>
                      </c:pt>
                      <c:pt idx="6">
                        <c:v>27.276666666666667</c:v>
                      </c:pt>
                      <c:pt idx="7">
                        <c:v>36.643333333333331</c:v>
                      </c:pt>
                      <c:pt idx="8">
                        <c:v>41.594999999999999</c:v>
                      </c:pt>
                      <c:pt idx="9">
                        <c:v>44.341666666666669</c:v>
                      </c:pt>
                      <c:pt idx="10">
                        <c:v>46.448333333333331</c:v>
                      </c:pt>
                      <c:pt idx="11">
                        <c:v>6.8116666666666674</c:v>
                      </c:pt>
                      <c:pt idx="12">
                        <c:v>17.821666666666665</c:v>
                      </c:pt>
                      <c:pt idx="13">
                        <c:v>24.116666666666664</c:v>
                      </c:pt>
                      <c:pt idx="14">
                        <c:v>24.121666666666666</c:v>
                      </c:pt>
                      <c:pt idx="15">
                        <c:v>24.66</c:v>
                      </c:pt>
                      <c:pt idx="16">
                        <c:v>27.903333333333332</c:v>
                      </c:pt>
                      <c:pt idx="17">
                        <c:v>36.656666666666666</c:v>
                      </c:pt>
                      <c:pt idx="18">
                        <c:v>42.023333333333333</c:v>
                      </c:pt>
                      <c:pt idx="19">
                        <c:v>45.664999999999999</c:v>
                      </c:pt>
                      <c:pt idx="20">
                        <c:v>46.938571428571429</c:v>
                      </c:pt>
                      <c:pt idx="21">
                        <c:v>38.448333333333331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733-46C5-BC7F-76E28531CCE5}"/>
                  </c:ext>
                </c:extLst>
              </c15:ser>
            </c15:filteredScatterSeries>
            <c15:filteredScatterSeries>
              <c15:ser>
                <c:idx val="5"/>
                <c:order val="5"/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'20251208_4e3'!$I$2:$I$22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733-46C5-BC7F-76E28531CCE5}"/>
                  </c:ext>
                </c:extLst>
              </c15:ser>
            </c15:filteredScatterSeries>
            <c15:filteredScatterSeries>
              <c15:ser>
                <c:idx val="6"/>
                <c:order val="6"/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'20251208_4e3'!$J$2:$J$22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3.7666666666666662</c:v>
                      </c:pt>
                      <c:pt idx="1">
                        <c:v>14.151666666666666</c:v>
                      </c:pt>
                      <c:pt idx="2">
                        <c:v>21.705714285714286</c:v>
                      </c:pt>
                      <c:pt idx="3">
                        <c:v>22.258333333333336</c:v>
                      </c:pt>
                      <c:pt idx="4">
                        <c:v>23.161999999999999</c:v>
                      </c:pt>
                      <c:pt idx="5">
                        <c:v>19.276666666666667</c:v>
                      </c:pt>
                      <c:pt idx="6">
                        <c:v>28.643333333333331</c:v>
                      </c:pt>
                      <c:pt idx="7">
                        <c:v>33.594999999999999</c:v>
                      </c:pt>
                      <c:pt idx="8">
                        <c:v>36.341666666666669</c:v>
                      </c:pt>
                      <c:pt idx="9">
                        <c:v>38.448333333333331</c:v>
                      </c:pt>
                      <c:pt idx="10">
                        <c:v>6.8116666666666674</c:v>
                      </c:pt>
                      <c:pt idx="11">
                        <c:v>17.821666666666665</c:v>
                      </c:pt>
                      <c:pt idx="12">
                        <c:v>24.116666666666664</c:v>
                      </c:pt>
                      <c:pt idx="13">
                        <c:v>24.121666666666666</c:v>
                      </c:pt>
                      <c:pt idx="14">
                        <c:v>24.66</c:v>
                      </c:pt>
                      <c:pt idx="15">
                        <c:v>19.903333333333332</c:v>
                      </c:pt>
                      <c:pt idx="16">
                        <c:v>28.656666666666666</c:v>
                      </c:pt>
                      <c:pt idx="17">
                        <c:v>34.023333333333333</c:v>
                      </c:pt>
                      <c:pt idx="18">
                        <c:v>37.664999999999999</c:v>
                      </c:pt>
                      <c:pt idx="19">
                        <c:v>38.938571428571429</c:v>
                      </c:pt>
                      <c:pt idx="20">
                        <c:v>38.448333333333331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733-46C5-BC7F-76E28531CCE5}"/>
                  </c:ext>
                </c:extLst>
              </c15:ser>
            </c15:filteredScatterSeries>
            <c15:filteredScatterSeries>
              <c15:ser>
                <c:idx val="7"/>
                <c:order val="7"/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'20251208_4e3'!$K$2:$K$22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3.7666666666666662</c:v>
                      </c:pt>
                      <c:pt idx="1">
                        <c:v>14.151666666666666</c:v>
                      </c:pt>
                      <c:pt idx="2">
                        <c:v>21.705714285714286</c:v>
                      </c:pt>
                      <c:pt idx="3">
                        <c:v>22.258333333333336</c:v>
                      </c:pt>
                      <c:pt idx="4">
                        <c:v>23.161999999999999</c:v>
                      </c:pt>
                      <c:pt idx="5">
                        <c:v>27.276666666666667</c:v>
                      </c:pt>
                      <c:pt idx="6">
                        <c:v>36.643333333333331</c:v>
                      </c:pt>
                      <c:pt idx="7">
                        <c:v>41.594999999999999</c:v>
                      </c:pt>
                      <c:pt idx="8">
                        <c:v>44.341666666666669</c:v>
                      </c:pt>
                      <c:pt idx="9">
                        <c:v>46.448333333333331</c:v>
                      </c:pt>
                      <c:pt idx="10">
                        <c:v>6.8116666666666674</c:v>
                      </c:pt>
                      <c:pt idx="11">
                        <c:v>17.821666666666665</c:v>
                      </c:pt>
                      <c:pt idx="12">
                        <c:v>24.116666666666664</c:v>
                      </c:pt>
                      <c:pt idx="13">
                        <c:v>24.121666666666666</c:v>
                      </c:pt>
                      <c:pt idx="14">
                        <c:v>24.66</c:v>
                      </c:pt>
                      <c:pt idx="15">
                        <c:v>27.903333333333332</c:v>
                      </c:pt>
                      <c:pt idx="16">
                        <c:v>36.656666666666666</c:v>
                      </c:pt>
                      <c:pt idx="17">
                        <c:v>42.023333333333333</c:v>
                      </c:pt>
                      <c:pt idx="18">
                        <c:v>45.664999999999999</c:v>
                      </c:pt>
                      <c:pt idx="19">
                        <c:v>46.938571428571429</c:v>
                      </c:pt>
                      <c:pt idx="20">
                        <c:v>38.448333333333331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733-46C5-BC7F-76E28531CCE5}"/>
                  </c:ext>
                </c:extLst>
              </c15:ser>
            </c15:filteredScatterSeries>
            <c15:filteredScatterSeries>
              <c15:ser>
                <c:idx val="8"/>
                <c:order val="8"/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'20251208_4e3'!$L$2:$L$22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0.46610680702555513</c:v>
                      </c:pt>
                      <c:pt idx="1">
                        <c:v>0.25660713595343049</c:v>
                      </c:pt>
                      <c:pt idx="2">
                        <c:v>0.22012056065822236</c:v>
                      </c:pt>
                      <c:pt idx="3">
                        <c:v>0.35352589092675474</c:v>
                      </c:pt>
                      <c:pt idx="4">
                        <c:v>0.31996249780247737</c:v>
                      </c:pt>
                      <c:pt idx="5">
                        <c:v>0.34422215049134813</c:v>
                      </c:pt>
                      <c:pt idx="6">
                        <c:v>0.38269512089332408</c:v>
                      </c:pt>
                      <c:pt idx="7">
                        <c:v>0.15798206649279259</c:v>
                      </c:pt>
                      <c:pt idx="8">
                        <c:v>0.49914649374930087</c:v>
                      </c:pt>
                      <c:pt idx="9">
                        <c:v>0.46531052952720486</c:v>
                      </c:pt>
                      <c:pt idx="10">
                        <c:v>0.52670094825136682</c:v>
                      </c:pt>
                      <c:pt idx="11">
                        <c:v>0.28115337846489152</c:v>
                      </c:pt>
                      <c:pt idx="12">
                        <c:v>0.30695638488590271</c:v>
                      </c:pt>
                      <c:pt idx="13">
                        <c:v>0.12746459203332591</c:v>
                      </c:pt>
                      <c:pt idx="14">
                        <c:v>0.31128764832546746</c:v>
                      </c:pt>
                      <c:pt idx="15">
                        <c:v>0.36768041678730878</c:v>
                      </c:pt>
                      <c:pt idx="16">
                        <c:v>0.45301459382918591</c:v>
                      </c:pt>
                      <c:pt idx="17">
                        <c:v>0.34974593953643296</c:v>
                      </c:pt>
                      <c:pt idx="18">
                        <c:v>0.49005952019457261</c:v>
                      </c:pt>
                      <c:pt idx="19">
                        <c:v>0.40179698396893254</c:v>
                      </c:pt>
                      <c:pt idx="20">
                        <c:v>0.46531052952720486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733-46C5-BC7F-76E28531CCE5}"/>
                  </c:ext>
                </c:extLst>
              </c15:ser>
            </c15:filteredScatterSeries>
            <c15:filteredScatterSeries>
              <c15:ser>
                <c:idx val="9"/>
                <c:order val="9"/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'20251208_4e3'!$M$2:$M$22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4.28</c:v>
                      </c:pt>
                      <c:pt idx="1">
                        <c:v>14.22</c:v>
                      </c:pt>
                      <c:pt idx="2">
                        <c:v>21.8</c:v>
                      </c:pt>
                      <c:pt idx="3">
                        <c:v>22.73</c:v>
                      </c:pt>
                      <c:pt idx="4">
                        <c:v>23.51</c:v>
                      </c:pt>
                      <c:pt idx="5">
                        <c:v>19.899999999999999</c:v>
                      </c:pt>
                      <c:pt idx="6">
                        <c:v>29.26</c:v>
                      </c:pt>
                      <c:pt idx="7">
                        <c:v>33.630000000000003</c:v>
                      </c:pt>
                      <c:pt idx="8">
                        <c:v>37.299999999999997</c:v>
                      </c:pt>
                      <c:pt idx="9">
                        <c:v>39.25</c:v>
                      </c:pt>
                      <c:pt idx="10">
                        <c:v>7.63</c:v>
                      </c:pt>
                      <c:pt idx="11">
                        <c:v>17.73</c:v>
                      </c:pt>
                      <c:pt idx="12">
                        <c:v>24.04</c:v>
                      </c:pt>
                      <c:pt idx="13">
                        <c:v>23.86</c:v>
                      </c:pt>
                      <c:pt idx="14">
                        <c:v>25.14</c:v>
                      </c:pt>
                      <c:pt idx="15">
                        <c:v>19.989999999999998</c:v>
                      </c:pt>
                      <c:pt idx="16">
                        <c:v>28.98</c:v>
                      </c:pt>
                      <c:pt idx="17">
                        <c:v>34.61</c:v>
                      </c:pt>
                      <c:pt idx="18">
                        <c:v>38.21</c:v>
                      </c:pt>
                      <c:pt idx="19">
                        <c:v>39.61</c:v>
                      </c:pt>
                      <c:pt idx="20">
                        <c:v>39.25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733-46C5-BC7F-76E28531CCE5}"/>
                  </c:ext>
                </c:extLst>
              </c15:ser>
            </c15:filteredScatterSeries>
            <c15:filteredScatterSeries>
              <c15:ser>
                <c:idx val="10"/>
                <c:order val="10"/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'20251208_4e3'!$N$2:$N$22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2.82</c:v>
                      </c:pt>
                      <c:pt idx="1">
                        <c:v>13.82</c:v>
                      </c:pt>
                      <c:pt idx="2">
                        <c:v>21.24</c:v>
                      </c:pt>
                      <c:pt idx="3">
                        <c:v>22.26</c:v>
                      </c:pt>
                      <c:pt idx="4">
                        <c:v>22.66</c:v>
                      </c:pt>
                      <c:pt idx="5">
                        <c:v>19.27</c:v>
                      </c:pt>
                      <c:pt idx="6">
                        <c:v>28.63</c:v>
                      </c:pt>
                      <c:pt idx="7">
                        <c:v>33.380000000000003</c:v>
                      </c:pt>
                      <c:pt idx="8">
                        <c:v>35.840000000000003</c:v>
                      </c:pt>
                      <c:pt idx="9">
                        <c:v>38.200000000000003</c:v>
                      </c:pt>
                      <c:pt idx="10">
                        <c:v>5.89</c:v>
                      </c:pt>
                      <c:pt idx="11">
                        <c:v>17.54</c:v>
                      </c:pt>
                      <c:pt idx="12">
                        <c:v>23.81</c:v>
                      </c:pt>
                      <c:pt idx="13">
                        <c:v>24.2</c:v>
                      </c:pt>
                      <c:pt idx="14">
                        <c:v>24.86</c:v>
                      </c:pt>
                      <c:pt idx="15">
                        <c:v>20.46</c:v>
                      </c:pt>
                      <c:pt idx="16">
                        <c:v>28.82</c:v>
                      </c:pt>
                      <c:pt idx="17">
                        <c:v>33.5</c:v>
                      </c:pt>
                      <c:pt idx="18">
                        <c:v>37.68</c:v>
                      </c:pt>
                      <c:pt idx="19">
                        <c:v>39.29</c:v>
                      </c:pt>
                      <c:pt idx="20">
                        <c:v>38.200000000000003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733-46C5-BC7F-76E28531CCE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'20251208_4e3'!$O$2:$O$22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3.66</c:v>
                      </c:pt>
                      <c:pt idx="1">
                        <c:v>14.31</c:v>
                      </c:pt>
                      <c:pt idx="2">
                        <c:v>21.92</c:v>
                      </c:pt>
                      <c:pt idx="3">
                        <c:v>22.48</c:v>
                      </c:pt>
                      <c:pt idx="4">
                        <c:v>22.97</c:v>
                      </c:pt>
                      <c:pt idx="5">
                        <c:v>18.850000000000001</c:v>
                      </c:pt>
                      <c:pt idx="6">
                        <c:v>28.27</c:v>
                      </c:pt>
                      <c:pt idx="7">
                        <c:v>33.549999999999997</c:v>
                      </c:pt>
                      <c:pt idx="8">
                        <c:v>36.56</c:v>
                      </c:pt>
                      <c:pt idx="9">
                        <c:v>38.51</c:v>
                      </c:pt>
                      <c:pt idx="10">
                        <c:v>6.75</c:v>
                      </c:pt>
                      <c:pt idx="11">
                        <c:v>17.89</c:v>
                      </c:pt>
                      <c:pt idx="12">
                        <c:v>24.43</c:v>
                      </c:pt>
                      <c:pt idx="13">
                        <c:v>24.27</c:v>
                      </c:pt>
                      <c:pt idx="14">
                        <c:v>24.51</c:v>
                      </c:pt>
                      <c:pt idx="15">
                        <c:v>20.11</c:v>
                      </c:pt>
                      <c:pt idx="16">
                        <c:v>28.43</c:v>
                      </c:pt>
                      <c:pt idx="17">
                        <c:v>34.06</c:v>
                      </c:pt>
                      <c:pt idx="18">
                        <c:v>37.85</c:v>
                      </c:pt>
                      <c:pt idx="19">
                        <c:v>39.19</c:v>
                      </c:pt>
                      <c:pt idx="20">
                        <c:v>38.51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733-46C5-BC7F-76E28531CCE5}"/>
                  </c:ext>
                </c:extLst>
              </c15:ser>
            </c15:filteredScatterSeries>
            <c15:filteredScatterSeries>
              <c15:ser>
                <c:idx val="12"/>
                <c:order val="12"/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'20251208_4e3'!$P$2:$P$22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3.87</c:v>
                      </c:pt>
                      <c:pt idx="1">
                        <c:v>13.87</c:v>
                      </c:pt>
                      <c:pt idx="2">
                        <c:v>21.89</c:v>
                      </c:pt>
                      <c:pt idx="3">
                        <c:v>22.37</c:v>
                      </c:pt>
                      <c:pt idx="4">
                        <c:v>23.48</c:v>
                      </c:pt>
                      <c:pt idx="5">
                        <c:v>19.440000000000001</c:v>
                      </c:pt>
                      <c:pt idx="6">
                        <c:v>28.09</c:v>
                      </c:pt>
                      <c:pt idx="7">
                        <c:v>33.51</c:v>
                      </c:pt>
                      <c:pt idx="8">
                        <c:v>36.130000000000003</c:v>
                      </c:pt>
                      <c:pt idx="9">
                        <c:v>38.409999999999997</c:v>
                      </c:pt>
                      <c:pt idx="10">
                        <c:v>7</c:v>
                      </c:pt>
                      <c:pt idx="11">
                        <c:v>17.8</c:v>
                      </c:pt>
                      <c:pt idx="12">
                        <c:v>24.28</c:v>
                      </c:pt>
                      <c:pt idx="13">
                        <c:v>24.13</c:v>
                      </c:pt>
                      <c:pt idx="14">
                        <c:v>24.14</c:v>
                      </c:pt>
                      <c:pt idx="15">
                        <c:v>19.68</c:v>
                      </c:pt>
                      <c:pt idx="16">
                        <c:v>28.52</c:v>
                      </c:pt>
                      <c:pt idx="17">
                        <c:v>33.79</c:v>
                      </c:pt>
                      <c:pt idx="18">
                        <c:v>38.200000000000003</c:v>
                      </c:pt>
                      <c:pt idx="19">
                        <c:v>38.72</c:v>
                      </c:pt>
                      <c:pt idx="20">
                        <c:v>38.409999999999997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733-46C5-BC7F-76E28531CCE5}"/>
                  </c:ext>
                </c:extLst>
              </c15:ser>
            </c15:filteredScatterSeries>
            <c15:filteredScatterSeries>
              <c15:ser>
                <c:idx val="13"/>
                <c:order val="13"/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'20251208_4e3'!$Q$2:$Q$22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4.0999999999999996</c:v>
                      </c:pt>
                      <c:pt idx="1">
                        <c:v>14.12</c:v>
                      </c:pt>
                      <c:pt idx="2">
                        <c:v>21.59</c:v>
                      </c:pt>
                      <c:pt idx="3">
                        <c:v>22.12</c:v>
                      </c:pt>
                      <c:pt idx="4">
                        <c:v>23.19</c:v>
                      </c:pt>
                      <c:pt idx="5">
                        <c:v>19.260000000000002</c:v>
                      </c:pt>
                      <c:pt idx="6">
                        <c:v>28.79</c:v>
                      </c:pt>
                      <c:pt idx="7">
                        <c:v>33.6</c:v>
                      </c:pt>
                      <c:pt idx="8">
                        <c:v>36.36</c:v>
                      </c:pt>
                      <c:pt idx="9">
                        <c:v>38.619999999999997</c:v>
                      </c:pt>
                      <c:pt idx="10">
                        <c:v>6.57</c:v>
                      </c:pt>
                      <c:pt idx="11">
                        <c:v>17.579999999999998</c:v>
                      </c:pt>
                      <c:pt idx="12">
                        <c:v>23.66</c:v>
                      </c:pt>
                      <c:pt idx="13">
                        <c:v>24.15</c:v>
                      </c:pt>
                      <c:pt idx="14">
                        <c:v>24.56</c:v>
                      </c:pt>
                      <c:pt idx="15">
                        <c:v>19.91</c:v>
                      </c:pt>
                      <c:pt idx="16">
                        <c:v>27.88</c:v>
                      </c:pt>
                      <c:pt idx="17">
                        <c:v>33.93</c:v>
                      </c:pt>
                      <c:pt idx="18">
                        <c:v>36.979999999999997</c:v>
                      </c:pt>
                      <c:pt idx="19">
                        <c:v>38.79</c:v>
                      </c:pt>
                      <c:pt idx="20">
                        <c:v>38.619999999999997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733-46C5-BC7F-76E28531CCE5}"/>
                  </c:ext>
                </c:extLst>
              </c15:ser>
            </c15:filteredScatterSeries>
            <c15:filteredScatterSeries>
              <c15:ser>
                <c:idx val="14"/>
                <c:order val="14"/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'20251208_4e3'!$R$2:$R$22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3.87</c:v>
                      </c:pt>
                      <c:pt idx="1">
                        <c:v>14.57</c:v>
                      </c:pt>
                      <c:pt idx="2">
                        <c:v>21.84</c:v>
                      </c:pt>
                      <c:pt idx="3">
                        <c:v>21.59</c:v>
                      </c:pt>
                      <c:pt idx="5">
                        <c:v>18.940000000000001</c:v>
                      </c:pt>
                      <c:pt idx="6">
                        <c:v>28.82</c:v>
                      </c:pt>
                      <c:pt idx="7">
                        <c:v>33.9</c:v>
                      </c:pt>
                      <c:pt idx="8">
                        <c:v>35.86</c:v>
                      </c:pt>
                      <c:pt idx="9">
                        <c:v>37.700000000000003</c:v>
                      </c:pt>
                      <c:pt idx="10">
                        <c:v>7.03</c:v>
                      </c:pt>
                      <c:pt idx="11">
                        <c:v>18.39</c:v>
                      </c:pt>
                      <c:pt idx="12">
                        <c:v>24.48</c:v>
                      </c:pt>
                      <c:pt idx="13">
                        <c:v>24.12</c:v>
                      </c:pt>
                      <c:pt idx="14">
                        <c:v>24.75</c:v>
                      </c:pt>
                      <c:pt idx="15">
                        <c:v>19.27</c:v>
                      </c:pt>
                      <c:pt idx="16">
                        <c:v>29.31</c:v>
                      </c:pt>
                      <c:pt idx="17">
                        <c:v>34.25</c:v>
                      </c:pt>
                      <c:pt idx="18">
                        <c:v>37.07</c:v>
                      </c:pt>
                      <c:pt idx="19">
                        <c:v>38.409999999999997</c:v>
                      </c:pt>
                      <c:pt idx="20">
                        <c:v>37.700000000000003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733-46C5-BC7F-76E28531CCE5}"/>
                  </c:ext>
                </c:extLst>
              </c15:ser>
            </c15:filteredScatterSeries>
            <c15:filteredScatterSeries>
              <c15:ser>
                <c:idx val="15"/>
                <c:order val="15"/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'20251208_4e3'!$S$2:$S$22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2">
                        <c:v>21.66</c:v>
                      </c:pt>
                      <c:pt idx="19">
                        <c:v>38.56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733-46C5-BC7F-76E28531CCE5}"/>
                  </c:ext>
                </c:extLst>
              </c15:ser>
            </c15:filteredScatterSeries>
            <c15:filteredScatterSeries>
              <c15:ser>
                <c:idx val="16"/>
                <c:order val="16"/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'20251208_4e3'!$T$2:$T$22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733-46C5-BC7F-76E28531CCE5}"/>
                  </c:ext>
                </c:extLst>
              </c15:ser>
            </c15:filteredScatterSeries>
            <c15:filteredScatterSeries>
              <c15:ser>
                <c:idx val="17"/>
                <c:order val="17"/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'20251208_4e3'!$U$2:$U$22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733-46C5-BC7F-76E28531CCE5}"/>
                  </c:ext>
                </c:extLst>
              </c15:ser>
            </c15:filteredScatterSeries>
            <c15:filteredScatterSeries>
              <c15:ser>
                <c:idx val="18"/>
                <c:order val="18"/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'20251208_4e3'!$V$2:$V$22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733-46C5-BC7F-76E28531CCE5}"/>
                  </c:ext>
                </c:extLst>
              </c15:ser>
            </c15:filteredScatterSeries>
            <c15:filteredScatterSeries>
              <c15:ser>
                <c:idx val="19"/>
                <c:order val="19"/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'20251208_4e3'!$W$2:$W$22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733-46C5-BC7F-76E28531CCE5}"/>
                  </c:ext>
                </c:extLst>
              </c15:ser>
            </c15:filteredScatterSeries>
            <c15:filteredScatterSeries>
              <c15:ser>
                <c:idx val="20"/>
                <c:order val="20"/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'20251208_4e3'!$X$2:$X$22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733-46C5-BC7F-76E28531CCE5}"/>
                  </c:ext>
                </c:extLst>
              </c15:ser>
            </c15:filteredScatterSeries>
            <c15:filteredScatterSeries>
              <c15:ser>
                <c:idx val="21"/>
                <c:order val="21"/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'20251208_4e3'!$Y$2:$Y$22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733-46C5-BC7F-76E28531CCE5}"/>
                  </c:ext>
                </c:extLst>
              </c15:ser>
            </c15:filteredScatterSeries>
            <c15:filteredScatterSeries>
              <c15:ser>
                <c:idx val="22"/>
                <c:order val="22"/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'20251208_4e3'!$Z$2:$Z$22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733-46C5-BC7F-76E28531CCE5}"/>
                  </c:ext>
                </c:extLst>
              </c15:ser>
            </c15:filteredScatterSeries>
            <c15:filteredScatterSeries>
              <c15:ser>
                <c:idx val="23"/>
                <c:order val="23"/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'20251208_4e3'!$AA$2:$AA$22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733-46C5-BC7F-76E28531CCE5}"/>
                  </c:ext>
                </c:extLst>
              </c15:ser>
            </c15:filteredScatterSeries>
            <c15:filteredScatterSeries>
              <c15:ser>
                <c:idx val="24"/>
                <c:order val="24"/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'20251208_4e3'!$AB$2:$AB$22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A733-46C5-BC7F-76E28531CCE5}"/>
                  </c:ext>
                </c:extLst>
              </c15:ser>
            </c15:filteredScatterSeries>
            <c15:filteredScatterSeries>
              <c15:ser>
                <c:idx val="25"/>
                <c:order val="25"/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'20251208_4e3'!$AC$2:$AC$22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733-46C5-BC7F-76E28531CCE5}"/>
                  </c:ext>
                </c:extLst>
              </c15:ser>
            </c15:filteredScatterSeries>
            <c15:filteredScatterSeries>
              <c15:ser>
                <c:idx val="26"/>
                <c:order val="26"/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'20251208_4e3'!$AD$2:$AD$22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733-46C5-BC7F-76E28531CCE5}"/>
                  </c:ext>
                </c:extLst>
              </c15:ser>
            </c15:filteredScatterSeries>
            <c15:filteredScatterSeries>
              <c15:ser>
                <c:idx val="27"/>
                <c:order val="27"/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'20251208_4e3'!$AE$2:$AE$22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A733-46C5-BC7F-76E28531CCE5}"/>
                  </c:ext>
                </c:extLst>
              </c15:ser>
            </c15:filteredScatterSeries>
            <c15:filteredScatterSeries>
              <c15:ser>
                <c:idx val="28"/>
                <c:order val="28"/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'20251208_4e3'!$A$2:$C$22</c15:sqref>
                        </c15:formulaRef>
                      </c:ext>
                    </c:extLst>
                    <c:multiLvlStrCache>
                      <c:ptCount val="21"/>
                      <c:lvl>
                        <c:pt idx="0">
                          <c:v>ROI 1</c:v>
                        </c:pt>
                        <c:pt idx="1">
                          <c:v>ROI 1</c:v>
                        </c:pt>
                        <c:pt idx="2">
                          <c:v>ROI 1</c:v>
                        </c:pt>
                        <c:pt idx="3">
                          <c:v>ROI 1</c:v>
                        </c:pt>
                        <c:pt idx="4">
                          <c:v>ROI 1</c:v>
                        </c:pt>
                        <c:pt idx="5">
                          <c:v>ROI 1</c:v>
                        </c:pt>
                        <c:pt idx="6">
                          <c:v>ROI 1</c:v>
                        </c:pt>
                        <c:pt idx="7">
                          <c:v>ROI 1</c:v>
                        </c:pt>
                        <c:pt idx="8">
                          <c:v>ROI 1</c:v>
                        </c:pt>
                        <c:pt idx="9">
                          <c:v>ROI 1</c:v>
                        </c:pt>
                        <c:pt idx="10">
                          <c:v>ROI 1</c:v>
                        </c:pt>
                        <c:pt idx="11">
                          <c:v>ROI 1</c:v>
                        </c:pt>
                        <c:pt idx="12">
                          <c:v>ROI 1</c:v>
                        </c:pt>
                        <c:pt idx="13">
                          <c:v>ROI 1</c:v>
                        </c:pt>
                        <c:pt idx="14">
                          <c:v>ROI 1</c:v>
                        </c:pt>
                        <c:pt idx="15">
                          <c:v>ROI 1</c:v>
                        </c:pt>
                        <c:pt idx="16">
                          <c:v>ROI 1</c:v>
                        </c:pt>
                        <c:pt idx="17">
                          <c:v>ROI 1</c:v>
                        </c:pt>
                        <c:pt idx="18">
                          <c:v>ROI 1</c:v>
                        </c:pt>
                        <c:pt idx="19">
                          <c:v>ROI 1</c:v>
                        </c:pt>
                        <c:pt idx="20">
                          <c:v>ROI 1</c:v>
                        </c:pt>
                      </c:lvl>
                      <c:lvl>
                        <c:pt idx="0">
                          <c:v>00_74</c:v>
                        </c:pt>
                        <c:pt idx="1">
                          <c:v>00_69</c:v>
                        </c:pt>
                        <c:pt idx="2">
                          <c:v>00_62</c:v>
                        </c:pt>
                        <c:pt idx="3">
                          <c:v>00_57</c:v>
                        </c:pt>
                        <c:pt idx="4">
                          <c:v>00_53</c:v>
                        </c:pt>
                        <c:pt idx="5">
                          <c:v>00_50</c:v>
                        </c:pt>
                        <c:pt idx="6">
                          <c:v>00_47</c:v>
                        </c:pt>
                        <c:pt idx="7">
                          <c:v>00_45</c:v>
                        </c:pt>
                        <c:pt idx="8">
                          <c:v>00_43</c:v>
                        </c:pt>
                        <c:pt idx="9">
                          <c:v>00_41</c:v>
                        </c:pt>
                        <c:pt idx="10">
                          <c:v>04_74</c:v>
                        </c:pt>
                        <c:pt idx="11">
                          <c:v>04_69</c:v>
                        </c:pt>
                        <c:pt idx="12">
                          <c:v>04_62</c:v>
                        </c:pt>
                        <c:pt idx="13">
                          <c:v>04_57</c:v>
                        </c:pt>
                        <c:pt idx="14">
                          <c:v>04_53</c:v>
                        </c:pt>
                        <c:pt idx="15">
                          <c:v>04_50</c:v>
                        </c:pt>
                        <c:pt idx="16">
                          <c:v>04_47</c:v>
                        </c:pt>
                        <c:pt idx="17">
                          <c:v>04_45</c:v>
                        </c:pt>
                        <c:pt idx="18">
                          <c:v>04_43</c:v>
                        </c:pt>
                        <c:pt idx="19">
                          <c:v>04_41</c:v>
                        </c:pt>
                        <c:pt idx="20">
                          <c:v>00_41</c:v>
                        </c:pt>
                      </c:lvl>
                      <c:lvl>
                        <c:pt idx="0">
                          <c:v>IM0001</c:v>
                        </c:pt>
                        <c:pt idx="1">
                          <c:v>IM0002</c:v>
                        </c:pt>
                        <c:pt idx="2">
                          <c:v>IM0003</c:v>
                        </c:pt>
                        <c:pt idx="3">
                          <c:v>IM0004</c:v>
                        </c:pt>
                        <c:pt idx="4">
                          <c:v>IM0005</c:v>
                        </c:pt>
                        <c:pt idx="5">
                          <c:v>IM0006</c:v>
                        </c:pt>
                        <c:pt idx="6">
                          <c:v>IM0007</c:v>
                        </c:pt>
                        <c:pt idx="7">
                          <c:v>IM0008</c:v>
                        </c:pt>
                        <c:pt idx="8">
                          <c:v>IM0009</c:v>
                        </c:pt>
                        <c:pt idx="9">
                          <c:v>IM0010</c:v>
                        </c:pt>
                        <c:pt idx="10">
                          <c:v>IM0011</c:v>
                        </c:pt>
                        <c:pt idx="11">
                          <c:v>IM0012</c:v>
                        </c:pt>
                        <c:pt idx="12">
                          <c:v>IM0013</c:v>
                        </c:pt>
                        <c:pt idx="13">
                          <c:v>IM0014</c:v>
                        </c:pt>
                        <c:pt idx="14">
                          <c:v>IM0015</c:v>
                        </c:pt>
                        <c:pt idx="15">
                          <c:v>IM0016</c:v>
                        </c:pt>
                        <c:pt idx="16">
                          <c:v>IM0017</c:v>
                        </c:pt>
                        <c:pt idx="17">
                          <c:v>IM0018</c:v>
                        </c:pt>
                        <c:pt idx="18">
                          <c:v>IM0019</c:v>
                        </c:pt>
                        <c:pt idx="19">
                          <c:v>IM0020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'20251208_4e3'!$AF$2:$AF$22</c15:sqref>
                        </c15:formulaRef>
                      </c:ext>
                    </c:extLst>
                    <c:numCache>
                      <c:formatCode>General</c:formatCode>
                      <c:ptCount val="2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A733-46C5-BC7F-76E28531CCE5}"/>
                  </c:ext>
                </c:extLst>
              </c15:ser>
            </c15:filteredScatterSeries>
          </c:ext>
        </c:extLst>
      </c:scatterChart>
      <c:valAx>
        <c:axId val="192058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4943"/>
        <c:crosses val="autoZero"/>
        <c:crossBetween val="midCat"/>
      </c:valAx>
      <c:valAx>
        <c:axId val="192058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8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6649663505928E-2"/>
          <c:y val="0.15340751043115441"/>
          <c:w val="0.85332250595929771"/>
          <c:h val="0.70280926740037442"/>
        </c:manualLayout>
      </c:layout>
      <c:scatterChart>
        <c:scatterStyle val="lineMarker"/>
        <c:varyColors val="0"/>
        <c:ser>
          <c:idx val="1"/>
          <c:order val="0"/>
          <c:tx>
            <c:v>0 mmHg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'Low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2'!$P$4:$Y$4</c:f>
              <c:numCache>
                <c:formatCode>General</c:formatCode>
                <c:ptCount val="10"/>
                <c:pt idx="0">
                  <c:v>1.2966666666666666</c:v>
                </c:pt>
                <c:pt idx="1">
                  <c:v>7.0350000000000001</c:v>
                </c:pt>
                <c:pt idx="2">
                  <c:v>14.504285714285714</c:v>
                </c:pt>
                <c:pt idx="3">
                  <c:v>14.638333333333334</c:v>
                </c:pt>
                <c:pt idx="4">
                  <c:v>16.063333333333333</c:v>
                </c:pt>
                <c:pt idx="5">
                  <c:v>19.648333333333333</c:v>
                </c:pt>
                <c:pt idx="6">
                  <c:v>27.665000000000003</c:v>
                </c:pt>
                <c:pt idx="7">
                  <c:v>32.986666666666665</c:v>
                </c:pt>
                <c:pt idx="8">
                  <c:v>34.933333333333337</c:v>
                </c:pt>
                <c:pt idx="9">
                  <c:v>37.010000000000005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AC-4867-BA75-CCF1F9849909}"/>
            </c:ext>
          </c:extLst>
        </c:ser>
        <c:ser>
          <c:idx val="0"/>
          <c:order val="1"/>
          <c:tx>
            <c:v>20 mmHg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2'!$P$5:$Y$5</c:f>
              <c:numCache>
                <c:formatCode>General</c:formatCode>
                <c:ptCount val="10"/>
                <c:pt idx="0">
                  <c:v>3.2833333333333332</c:v>
                </c:pt>
                <c:pt idx="1">
                  <c:v>14.281666666666666</c:v>
                </c:pt>
                <c:pt idx="2">
                  <c:v>20.135000000000002</c:v>
                </c:pt>
                <c:pt idx="3">
                  <c:v>20.734285714285711</c:v>
                </c:pt>
                <c:pt idx="4">
                  <c:v>20.902000000000001</c:v>
                </c:pt>
                <c:pt idx="5">
                  <c:v>23.021999999999998</c:v>
                </c:pt>
                <c:pt idx="6">
                  <c:v>29.995999999999999</c:v>
                </c:pt>
                <c:pt idx="7">
                  <c:v>34.441666666666663</c:v>
                </c:pt>
                <c:pt idx="8">
                  <c:v>36.708333333333329</c:v>
                </c:pt>
                <c:pt idx="9">
                  <c:v>40.061428571428571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AC-4867-BA75-CCF1F9849909}"/>
            </c:ext>
          </c:extLst>
        </c:ser>
        <c:ser>
          <c:idx val="2"/>
          <c:order val="2"/>
          <c:tx>
            <c:v>40 mmHg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'Low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2'!$P$6:$Y$6</c:f>
              <c:numCache>
                <c:formatCode>General</c:formatCode>
                <c:ptCount val="10"/>
                <c:pt idx="0">
                  <c:v>9.6357142857142861</c:v>
                </c:pt>
                <c:pt idx="1">
                  <c:v>21.548333333333336</c:v>
                </c:pt>
                <c:pt idx="2">
                  <c:v>26.096666666666668</c:v>
                </c:pt>
                <c:pt idx="3">
                  <c:v>24.96166666666667</c:v>
                </c:pt>
                <c:pt idx="4">
                  <c:v>25.654000000000003</c:v>
                </c:pt>
                <c:pt idx="5">
                  <c:v>25.823333333333334</c:v>
                </c:pt>
                <c:pt idx="6">
                  <c:v>30.08666666666667</c:v>
                </c:pt>
                <c:pt idx="7">
                  <c:v>33.525000000000006</c:v>
                </c:pt>
                <c:pt idx="8">
                  <c:v>37.265000000000001</c:v>
                </c:pt>
                <c:pt idx="9">
                  <c:v>39.099999999999994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AC-4867-BA75-CCF1F9849909}"/>
            </c:ext>
          </c:extLst>
        </c:ser>
        <c:ser>
          <c:idx val="3"/>
          <c:order val="3"/>
          <c:tx>
            <c:v>60 mmHg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'Low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2'!$P$7:$Y$7</c:f>
              <c:numCache>
                <c:formatCode>General</c:formatCode>
                <c:ptCount val="10"/>
                <c:pt idx="0">
                  <c:v>12.658333333333333</c:v>
                </c:pt>
                <c:pt idx="1">
                  <c:v>22.043333333333333</c:v>
                </c:pt>
                <c:pt idx="2">
                  <c:v>26.345000000000002</c:v>
                </c:pt>
                <c:pt idx="3">
                  <c:v>26.028333333333336</c:v>
                </c:pt>
                <c:pt idx="4">
                  <c:v>24.781666666666666</c:v>
                </c:pt>
                <c:pt idx="5">
                  <c:v>25.408333333333335</c:v>
                </c:pt>
                <c:pt idx="6">
                  <c:v>28.816666666666666</c:v>
                </c:pt>
                <c:pt idx="7">
                  <c:v>32.858333333333334</c:v>
                </c:pt>
                <c:pt idx="8">
                  <c:v>35.736000000000004</c:v>
                </c:pt>
                <c:pt idx="9">
                  <c:v>39.105000000000004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AC-4867-BA75-CCF1F9849909}"/>
            </c:ext>
          </c:extLst>
        </c:ser>
        <c:ser>
          <c:idx val="4"/>
          <c:order val="4"/>
          <c:tx>
            <c:v>80 mmHg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'Low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2'!$P$8:$Y$8</c:f>
              <c:numCache>
                <c:formatCode>General</c:formatCode>
                <c:ptCount val="10"/>
                <c:pt idx="0">
                  <c:v>14.213333333333333</c:v>
                </c:pt>
                <c:pt idx="1">
                  <c:v>22.296666666666667</c:v>
                </c:pt>
                <c:pt idx="2">
                  <c:v>26.086666666666662</c:v>
                </c:pt>
                <c:pt idx="3">
                  <c:v>25.221666666666668</c:v>
                </c:pt>
                <c:pt idx="4">
                  <c:v>24.901666666666667</c:v>
                </c:pt>
                <c:pt idx="5">
                  <c:v>24.583333333333332</c:v>
                </c:pt>
                <c:pt idx="6">
                  <c:v>27.993333333333336</c:v>
                </c:pt>
                <c:pt idx="7">
                  <c:v>33.773333333333326</c:v>
                </c:pt>
                <c:pt idx="8">
                  <c:v>37.555000000000007</c:v>
                </c:pt>
                <c:pt idx="9">
                  <c:v>39.961666666666673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AC-4867-BA75-CCF1F9849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904463"/>
        <c:axId val="1989902543"/>
      </c:scatterChart>
      <c:valAx>
        <c:axId val="198990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02543"/>
        <c:crosses val="autoZero"/>
        <c:crossBetween val="midCat"/>
      </c:valAx>
      <c:valAx>
        <c:axId val="1989902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0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2'!$P$12:$P$16</c:f>
              <c:numCache>
                <c:formatCode>General</c:formatCode>
                <c:ptCount val="5"/>
                <c:pt idx="0">
                  <c:v>0</c:v>
                </c:pt>
                <c:pt idx="1">
                  <c:v>1.9866666666666666</c:v>
                </c:pt>
                <c:pt idx="2">
                  <c:v>8.3390476190476193</c:v>
                </c:pt>
                <c:pt idx="3">
                  <c:v>11.361666666666666</c:v>
                </c:pt>
                <c:pt idx="4">
                  <c:v>12.916666666666666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9-4F4D-AE70-8AE842B7F6A7}"/>
            </c:ext>
          </c:extLst>
        </c:ser>
        <c:ser>
          <c:idx val="1"/>
          <c:order val="1"/>
          <c:tx>
            <c:v>120 kPa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2'!$Q$12:$Q$16</c:f>
              <c:numCache>
                <c:formatCode>General</c:formatCode>
                <c:ptCount val="5"/>
                <c:pt idx="0">
                  <c:v>0</c:v>
                </c:pt>
                <c:pt idx="1">
                  <c:v>7.2466666666666661</c:v>
                </c:pt>
                <c:pt idx="2">
                  <c:v>14.513333333333335</c:v>
                </c:pt>
                <c:pt idx="3">
                  <c:v>15.008333333333333</c:v>
                </c:pt>
                <c:pt idx="4">
                  <c:v>15.261666666666667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79-4F4D-AE70-8AE842B7F6A7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2'!$R$12:$R$16</c:f>
              <c:numCache>
                <c:formatCode>General</c:formatCode>
                <c:ptCount val="5"/>
                <c:pt idx="0">
                  <c:v>0</c:v>
                </c:pt>
                <c:pt idx="1">
                  <c:v>5.6307142857142871</c:v>
                </c:pt>
                <c:pt idx="2">
                  <c:v>11.592380952380953</c:v>
                </c:pt>
                <c:pt idx="3">
                  <c:v>11.840714285714288</c:v>
                </c:pt>
                <c:pt idx="4">
                  <c:v>11.582380952380948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79-4F4D-AE70-8AE842B7F6A7}"/>
            </c:ext>
          </c:extLst>
        </c:ser>
        <c:ser>
          <c:idx val="3"/>
          <c:order val="3"/>
          <c:tx>
            <c:v>256 kPa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2'!$S$12:$S$16</c:f>
              <c:numCache>
                <c:formatCode>General</c:formatCode>
                <c:ptCount val="5"/>
                <c:pt idx="0">
                  <c:v>0</c:v>
                </c:pt>
                <c:pt idx="1">
                  <c:v>6.0959523809523777</c:v>
                </c:pt>
                <c:pt idx="2">
                  <c:v>10.323333333333336</c:v>
                </c:pt>
                <c:pt idx="3">
                  <c:v>11.390000000000002</c:v>
                </c:pt>
                <c:pt idx="4">
                  <c:v>10.583333333333334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79-4F4D-AE70-8AE842B7F6A7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2'!$T$12:$T$16</c:f>
              <c:numCache>
                <c:formatCode>General</c:formatCode>
                <c:ptCount val="5"/>
                <c:pt idx="0">
                  <c:v>0</c:v>
                </c:pt>
                <c:pt idx="1">
                  <c:v>4.8386666666666684</c:v>
                </c:pt>
                <c:pt idx="2">
                  <c:v>9.5906666666666709</c:v>
                </c:pt>
                <c:pt idx="3">
                  <c:v>8.7183333333333337</c:v>
                </c:pt>
                <c:pt idx="4">
                  <c:v>8.8383333333333347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79-4F4D-AE70-8AE842B7F6A7}"/>
            </c:ext>
          </c:extLst>
        </c:ser>
        <c:ser>
          <c:idx val="5"/>
          <c:order val="5"/>
          <c:tx>
            <c:v>427 kPa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2'!$U$12:$U$16</c:f>
              <c:numCache>
                <c:formatCode>General</c:formatCode>
                <c:ptCount val="5"/>
                <c:pt idx="0">
                  <c:v>0</c:v>
                </c:pt>
                <c:pt idx="1">
                  <c:v>3.373666666666665</c:v>
                </c:pt>
                <c:pt idx="2">
                  <c:v>6.1750000000000007</c:v>
                </c:pt>
                <c:pt idx="3">
                  <c:v>5.7600000000000016</c:v>
                </c:pt>
                <c:pt idx="4">
                  <c:v>4.9349999999999987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79-4F4D-AE70-8AE842B7F6A7}"/>
            </c:ext>
          </c:extLst>
        </c:ser>
        <c:ser>
          <c:idx val="6"/>
          <c:order val="6"/>
          <c:tx>
            <c:v>522 kPa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2'!$V$12:$V$16</c:f>
              <c:numCache>
                <c:formatCode>General</c:formatCode>
                <c:ptCount val="5"/>
                <c:pt idx="0">
                  <c:v>0</c:v>
                </c:pt>
                <c:pt idx="1">
                  <c:v>2.330999999999996</c:v>
                </c:pt>
                <c:pt idx="2">
                  <c:v>2.4216666666666669</c:v>
                </c:pt>
                <c:pt idx="3">
                  <c:v>1.1516666666666637</c:v>
                </c:pt>
                <c:pt idx="4">
                  <c:v>0.32833333333333314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79-4F4D-AE70-8AE842B7F6A7}"/>
            </c:ext>
          </c:extLst>
        </c:ser>
        <c:ser>
          <c:idx val="7"/>
          <c:order val="7"/>
          <c:tx>
            <c:v>586 kPa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2'!$W$12:$W$16</c:f>
              <c:numCache>
                <c:formatCode>General</c:formatCode>
                <c:ptCount val="5"/>
                <c:pt idx="0">
                  <c:v>0</c:v>
                </c:pt>
                <c:pt idx="1">
                  <c:v>1.4549999999999983</c:v>
                </c:pt>
                <c:pt idx="2">
                  <c:v>0.5383333333333411</c:v>
                </c:pt>
                <c:pt idx="3">
                  <c:v>-0.1283333333333303</c:v>
                </c:pt>
                <c:pt idx="4">
                  <c:v>0.78666666666666174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79-4F4D-AE70-8AE842B7F6A7}"/>
            </c:ext>
          </c:extLst>
        </c:ser>
        <c:ser>
          <c:idx val="8"/>
          <c:order val="8"/>
          <c:tx>
            <c:v>638 kPa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2'!$X$12:$X$16</c:f>
              <c:numCache>
                <c:formatCode>General</c:formatCode>
                <c:ptCount val="5"/>
                <c:pt idx="0">
                  <c:v>0</c:v>
                </c:pt>
                <c:pt idx="1">
                  <c:v>1.7749999999999915</c:v>
                </c:pt>
                <c:pt idx="2">
                  <c:v>2.3316666666666634</c:v>
                </c:pt>
                <c:pt idx="3">
                  <c:v>0.80266666666666708</c:v>
                </c:pt>
                <c:pt idx="4">
                  <c:v>2.6216666666666697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79-4F4D-AE70-8AE842B7F6A7}"/>
            </c:ext>
          </c:extLst>
        </c:ser>
        <c:ser>
          <c:idx val="9"/>
          <c:order val="9"/>
          <c:tx>
            <c:v>705 kPa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2'!$Y$12:$Y$16</c:f>
              <c:numCache>
                <c:formatCode>General</c:formatCode>
                <c:ptCount val="5"/>
                <c:pt idx="0">
                  <c:v>0</c:v>
                </c:pt>
                <c:pt idx="1">
                  <c:v>3.0514285714285663</c:v>
                </c:pt>
                <c:pt idx="2">
                  <c:v>2.0899999999999892</c:v>
                </c:pt>
                <c:pt idx="3">
                  <c:v>2.0949999999999989</c:v>
                </c:pt>
                <c:pt idx="4">
                  <c:v>2.951666666666668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B79-4F4D-AE70-8AE842B7F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2'!$P$12:$P$16</c:f>
              <c:numCache>
                <c:formatCode>General</c:formatCode>
                <c:ptCount val="5"/>
                <c:pt idx="0">
                  <c:v>0</c:v>
                </c:pt>
                <c:pt idx="1">
                  <c:v>1.9866666666666666</c:v>
                </c:pt>
                <c:pt idx="2">
                  <c:v>8.3390476190476193</c:v>
                </c:pt>
                <c:pt idx="3">
                  <c:v>11.361666666666666</c:v>
                </c:pt>
                <c:pt idx="4">
                  <c:v>12.916666666666666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1A-41B9-B1F1-DE83757413A3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2'!$R$12:$R$16</c:f>
              <c:numCache>
                <c:formatCode>General</c:formatCode>
                <c:ptCount val="5"/>
                <c:pt idx="0">
                  <c:v>0</c:v>
                </c:pt>
                <c:pt idx="1">
                  <c:v>5.6307142857142871</c:v>
                </c:pt>
                <c:pt idx="2">
                  <c:v>11.592380952380953</c:v>
                </c:pt>
                <c:pt idx="3">
                  <c:v>11.840714285714288</c:v>
                </c:pt>
                <c:pt idx="4">
                  <c:v>11.582380952380948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1A-41B9-B1F1-DE83757413A3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2'!$T$12:$T$16</c:f>
              <c:numCache>
                <c:formatCode>General</c:formatCode>
                <c:ptCount val="5"/>
                <c:pt idx="0">
                  <c:v>0</c:v>
                </c:pt>
                <c:pt idx="1">
                  <c:v>4.8386666666666684</c:v>
                </c:pt>
                <c:pt idx="2">
                  <c:v>9.5906666666666709</c:v>
                </c:pt>
                <c:pt idx="3">
                  <c:v>8.7183333333333337</c:v>
                </c:pt>
                <c:pt idx="4">
                  <c:v>8.8383333333333347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1A-41B9-B1F1-DE83757413A3}"/>
            </c:ext>
          </c:extLst>
        </c:ser>
        <c:ser>
          <c:idx val="5"/>
          <c:order val="5"/>
          <c:tx>
            <c:v>427 kPa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2'!$U$12:$U$16</c:f>
              <c:numCache>
                <c:formatCode>General</c:formatCode>
                <c:ptCount val="5"/>
                <c:pt idx="0">
                  <c:v>0</c:v>
                </c:pt>
                <c:pt idx="1">
                  <c:v>3.373666666666665</c:v>
                </c:pt>
                <c:pt idx="2">
                  <c:v>6.1750000000000007</c:v>
                </c:pt>
                <c:pt idx="3">
                  <c:v>5.7600000000000016</c:v>
                </c:pt>
                <c:pt idx="4">
                  <c:v>4.9349999999999987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1A-41B9-B1F1-DE83757413A3}"/>
            </c:ext>
          </c:extLst>
        </c:ser>
        <c:ser>
          <c:idx val="8"/>
          <c:order val="8"/>
          <c:tx>
            <c:v>638 kPa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2'!$X$12:$X$16</c:f>
              <c:numCache>
                <c:formatCode>General</c:formatCode>
                <c:ptCount val="5"/>
                <c:pt idx="0">
                  <c:v>0</c:v>
                </c:pt>
                <c:pt idx="1">
                  <c:v>1.7749999999999915</c:v>
                </c:pt>
                <c:pt idx="2">
                  <c:v>2.3316666666666634</c:v>
                </c:pt>
                <c:pt idx="3">
                  <c:v>0.80266666666666708</c:v>
                </c:pt>
                <c:pt idx="4">
                  <c:v>2.6216666666666697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51A-41B9-B1F1-DE8375741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120 kPa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'Low 2'!$Q$12:$Q$16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7.2466666666666661</c:v>
                      </c:pt>
                      <c:pt idx="2">
                        <c:v>14.513333333333335</c:v>
                      </c:pt>
                      <c:pt idx="3">
                        <c:v>15.008333333333333</c:v>
                      </c:pt>
                      <c:pt idx="4">
                        <c:v>15.261666666666667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51A-41B9-B1F1-DE83757413A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256 kPa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2'!$S$12:$S$16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6.0959523809523777</c:v>
                      </c:pt>
                      <c:pt idx="2">
                        <c:v>10.323333333333336</c:v>
                      </c:pt>
                      <c:pt idx="3">
                        <c:v>11.390000000000002</c:v>
                      </c:pt>
                      <c:pt idx="4">
                        <c:v>10.583333333333334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51A-41B9-B1F1-DE83757413A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522 kPa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2'!$V$12:$V$16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2.330999999999996</c:v>
                      </c:pt>
                      <c:pt idx="2">
                        <c:v>2.4216666666666669</c:v>
                      </c:pt>
                      <c:pt idx="3">
                        <c:v>1.1516666666666637</c:v>
                      </c:pt>
                      <c:pt idx="4">
                        <c:v>0.32833333333333314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51A-41B9-B1F1-DE83757413A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586 kPa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2'!$W$12:$W$16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1.4549999999999983</c:v>
                      </c:pt>
                      <c:pt idx="2">
                        <c:v>0.5383333333333411</c:v>
                      </c:pt>
                      <c:pt idx="3">
                        <c:v>-0.1283333333333303</c:v>
                      </c:pt>
                      <c:pt idx="4">
                        <c:v>0.78666666666666174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51A-41B9-B1F1-DE83757413A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705 kPa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2'!$Y$12:$Y$16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3.0514285714285663</c:v>
                      </c:pt>
                      <c:pt idx="2">
                        <c:v>2.0899999999999892</c:v>
                      </c:pt>
                      <c:pt idx="3">
                        <c:v>2.0949999999999989</c:v>
                      </c:pt>
                      <c:pt idx="4">
                        <c:v>2.951666666666668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51A-41B9-B1F1-DE83757413A3}"/>
                  </c:ext>
                </c:extLst>
              </c15:ser>
            </c15:filteredScatterSeries>
          </c:ext>
        </c:extLst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256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(Summary!$S$4,Summary!$S$12,Summary!$S$20)</c:f>
              <c:numCache>
                <c:formatCode>General</c:formatCode>
                <c:ptCount val="3"/>
                <c:pt idx="0">
                  <c:v>16.791999999999998</c:v>
                </c:pt>
                <c:pt idx="1">
                  <c:v>23.743333333333336</c:v>
                </c:pt>
                <c:pt idx="2">
                  <c:v>32.302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7-4A06-99E9-43AABBC77276}"/>
            </c:ext>
          </c:extLst>
        </c:ser>
        <c:ser>
          <c:idx val="1"/>
          <c:order val="1"/>
          <c:tx>
            <c:v>427 kPa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(Summary!$U$4,Summary!$U$12,Summary!$U$20)</c:f>
              <c:numCache>
                <c:formatCode>General</c:formatCode>
                <c:ptCount val="3"/>
                <c:pt idx="0">
                  <c:v>22.728000000000002</c:v>
                </c:pt>
                <c:pt idx="1">
                  <c:v>29.98</c:v>
                </c:pt>
                <c:pt idx="2">
                  <c:v>36.769999999999996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07-4A06-99E9-43AABBC77276}"/>
            </c:ext>
          </c:extLst>
        </c:ser>
        <c:ser>
          <c:idx val="2"/>
          <c:order val="2"/>
          <c:tx>
            <c:v>586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(Summary!$W$4,Summary!$W$12,Summary!$W$20)</c:f>
              <c:numCache>
                <c:formatCode>General</c:formatCode>
                <c:ptCount val="3"/>
                <c:pt idx="0">
                  <c:v>35.676000000000002</c:v>
                </c:pt>
                <c:pt idx="1">
                  <c:v>43.275000000000006</c:v>
                </c:pt>
                <c:pt idx="2">
                  <c:v>50.963999999999999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07-4A06-99E9-43AABBC77276}"/>
            </c:ext>
          </c:extLst>
        </c:ser>
        <c:ser>
          <c:idx val="3"/>
          <c:order val="3"/>
          <c:tx>
            <c:v>705 kPa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(Summary!$Y$4,Summary!$Y$12,Summary!$Y$20)</c:f>
              <c:numCache>
                <c:formatCode>General</c:formatCode>
                <c:ptCount val="3"/>
                <c:pt idx="0">
                  <c:v>40.410000000000004</c:v>
                </c:pt>
                <c:pt idx="1">
                  <c:v>48.932000000000002</c:v>
                </c:pt>
                <c:pt idx="2">
                  <c:v>55.499999999999993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07-4A06-99E9-43AABBC77276}"/>
            </c:ext>
          </c:extLst>
        </c:ser>
        <c:ser>
          <c:idx val="4"/>
          <c:order val="4"/>
          <c:tx>
            <c:v>120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Summary!$AB$2:$AB$4</c:f>
              <c:numCache>
                <c:formatCode>General</c:formatCode>
                <c:ptCount val="3"/>
                <c:pt idx="0">
                  <c:v>250</c:v>
                </c:pt>
                <c:pt idx="1">
                  <c:v>1000</c:v>
                </c:pt>
                <c:pt idx="2">
                  <c:v>4000</c:v>
                </c:pt>
              </c:numCache>
            </c:numRef>
          </c:xVal>
          <c:yVal>
            <c:numRef>
              <c:f>(Summary!$Q$4,Summary!$Q$12,Summary!$Q$20)</c:f>
              <c:numCache>
                <c:formatCode>General</c:formatCode>
                <c:ptCount val="3"/>
                <c:pt idx="0">
                  <c:v>7.347999999999999</c:v>
                </c:pt>
                <c:pt idx="1">
                  <c:v>15.529999999999998</c:v>
                </c:pt>
                <c:pt idx="2">
                  <c:v>24.903333333333332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07-4A06-99E9-43AABBC77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515311"/>
        <c:axId val="1736519631"/>
      </c:scatterChart>
      <c:valAx>
        <c:axId val="173651531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519631"/>
        <c:crosses val="autoZero"/>
        <c:crossBetween val="midCat"/>
      </c:valAx>
      <c:valAx>
        <c:axId val="173651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51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(2)'!$V$27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(2)'!$P$4:$Y$4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(2)'!$P$5:$Y$5</c:f>
              <c:numCache>
                <c:formatCode>General</c:formatCode>
                <c:ptCount val="10"/>
                <c:pt idx="0">
                  <c:v>1.2966666666666666</c:v>
                </c:pt>
                <c:pt idx="1">
                  <c:v>7.0350000000000001</c:v>
                </c:pt>
                <c:pt idx="2">
                  <c:v>14.504285714285714</c:v>
                </c:pt>
                <c:pt idx="3">
                  <c:v>14.638333333333334</c:v>
                </c:pt>
                <c:pt idx="4">
                  <c:v>16.063333333333333</c:v>
                </c:pt>
                <c:pt idx="5">
                  <c:v>19.648333333333333</c:v>
                </c:pt>
                <c:pt idx="6">
                  <c:v>27.665000000000003</c:v>
                </c:pt>
                <c:pt idx="7">
                  <c:v>32.986666666666665</c:v>
                </c:pt>
                <c:pt idx="8">
                  <c:v>34.933333333333337</c:v>
                </c:pt>
                <c:pt idx="9">
                  <c:v>37.010000000000005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0C-48A8-9DE5-315764CEBB2D}"/>
            </c:ext>
          </c:extLst>
        </c:ser>
        <c:ser>
          <c:idx val="1"/>
          <c:order val="1"/>
          <c:tx>
            <c:strRef>
              <c:f>'Summary (2)'!$V$28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'Summary (2)'!$P$4:$Y$4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(2)'!$P$6:$Y$6</c:f>
              <c:numCache>
                <c:formatCode>General</c:formatCode>
                <c:ptCount val="10"/>
                <c:pt idx="0">
                  <c:v>3.2833333333333332</c:v>
                </c:pt>
                <c:pt idx="1">
                  <c:v>14.281666666666666</c:v>
                </c:pt>
                <c:pt idx="2">
                  <c:v>20.135000000000002</c:v>
                </c:pt>
                <c:pt idx="3">
                  <c:v>20.734285714285711</c:v>
                </c:pt>
                <c:pt idx="4">
                  <c:v>20.902000000000001</c:v>
                </c:pt>
                <c:pt idx="5">
                  <c:v>23.021999999999998</c:v>
                </c:pt>
                <c:pt idx="6">
                  <c:v>29.995999999999999</c:v>
                </c:pt>
                <c:pt idx="7">
                  <c:v>34.441666666666663</c:v>
                </c:pt>
                <c:pt idx="8">
                  <c:v>36.708333333333329</c:v>
                </c:pt>
                <c:pt idx="9">
                  <c:v>40.061428571428571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0C-48A8-9DE5-315764CEBB2D}"/>
            </c:ext>
          </c:extLst>
        </c:ser>
        <c:ser>
          <c:idx val="2"/>
          <c:order val="2"/>
          <c:tx>
            <c:strRef>
              <c:f>'Summary (2)'!$V$29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'Summary (2)'!$P$4:$Y$4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(2)'!$P$7:$Y$7</c:f>
              <c:numCache>
                <c:formatCode>General</c:formatCode>
                <c:ptCount val="10"/>
                <c:pt idx="0">
                  <c:v>9.6357142857142861</c:v>
                </c:pt>
                <c:pt idx="1">
                  <c:v>21.548333333333336</c:v>
                </c:pt>
                <c:pt idx="2">
                  <c:v>26.096666666666668</c:v>
                </c:pt>
                <c:pt idx="3">
                  <c:v>24.96166666666667</c:v>
                </c:pt>
                <c:pt idx="4">
                  <c:v>25.654000000000003</c:v>
                </c:pt>
                <c:pt idx="5">
                  <c:v>25.823333333333334</c:v>
                </c:pt>
                <c:pt idx="6">
                  <c:v>30.08666666666667</c:v>
                </c:pt>
                <c:pt idx="7">
                  <c:v>33.525000000000006</c:v>
                </c:pt>
                <c:pt idx="8">
                  <c:v>37.265000000000001</c:v>
                </c:pt>
                <c:pt idx="9">
                  <c:v>39.099999999999994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0C-48A8-9DE5-315764CEBB2D}"/>
            </c:ext>
          </c:extLst>
        </c:ser>
        <c:ser>
          <c:idx val="3"/>
          <c:order val="3"/>
          <c:tx>
            <c:strRef>
              <c:f>'Summary (2)'!$V$30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'Summary (2)'!$P$4:$Y$4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(2)'!$P$8:$Y$8</c:f>
              <c:numCache>
                <c:formatCode>General</c:formatCode>
                <c:ptCount val="10"/>
                <c:pt idx="0">
                  <c:v>12.658333333333333</c:v>
                </c:pt>
                <c:pt idx="1">
                  <c:v>22.043333333333333</c:v>
                </c:pt>
                <c:pt idx="2">
                  <c:v>26.345000000000002</c:v>
                </c:pt>
                <c:pt idx="3">
                  <c:v>26.028333333333336</c:v>
                </c:pt>
                <c:pt idx="4">
                  <c:v>24.781666666666666</c:v>
                </c:pt>
                <c:pt idx="5">
                  <c:v>25.408333333333335</c:v>
                </c:pt>
                <c:pt idx="6">
                  <c:v>28.816666666666666</c:v>
                </c:pt>
                <c:pt idx="7">
                  <c:v>32.858333333333334</c:v>
                </c:pt>
                <c:pt idx="8">
                  <c:v>35.736000000000004</c:v>
                </c:pt>
                <c:pt idx="9">
                  <c:v>39.105000000000004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0C-48A8-9DE5-315764CEBB2D}"/>
            </c:ext>
          </c:extLst>
        </c:ser>
        <c:ser>
          <c:idx val="4"/>
          <c:order val="4"/>
          <c:tx>
            <c:strRef>
              <c:f>'Summary (2)'!$V$31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'Summary (2)'!$P$4:$Y$4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(2)'!$P$9:$Y$9</c:f>
              <c:numCache>
                <c:formatCode>General</c:formatCode>
                <c:ptCount val="10"/>
                <c:pt idx="0">
                  <c:v>14.213333333333333</c:v>
                </c:pt>
                <c:pt idx="1">
                  <c:v>22.296666666666667</c:v>
                </c:pt>
                <c:pt idx="2">
                  <c:v>26.086666666666662</c:v>
                </c:pt>
                <c:pt idx="3">
                  <c:v>25.221666666666668</c:v>
                </c:pt>
                <c:pt idx="4">
                  <c:v>24.901666666666667</c:v>
                </c:pt>
                <c:pt idx="5">
                  <c:v>24.583333333333332</c:v>
                </c:pt>
                <c:pt idx="6">
                  <c:v>27.993333333333336</c:v>
                </c:pt>
                <c:pt idx="7">
                  <c:v>33.773333333333326</c:v>
                </c:pt>
                <c:pt idx="8">
                  <c:v>37.555000000000007</c:v>
                </c:pt>
                <c:pt idx="9">
                  <c:v>39.961666666666673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0C-48A8-9DE5-315764CEB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637952"/>
        <c:axId val="959640352"/>
      </c:scatterChart>
      <c:valAx>
        <c:axId val="95963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40352"/>
        <c:crosses val="autoZero"/>
        <c:crossBetween val="midCat"/>
      </c:valAx>
      <c:valAx>
        <c:axId val="959640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3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(2)'!$V$27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(2)'!$P$12:$Y$12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(2)'!$P$13:$Y$13</c:f>
              <c:numCache>
                <c:formatCode>General</c:formatCode>
                <c:ptCount val="10"/>
                <c:pt idx="0">
                  <c:v>6.2650000000000006</c:v>
                </c:pt>
                <c:pt idx="1">
                  <c:v>16.116666666666667</c:v>
                </c:pt>
                <c:pt idx="2">
                  <c:v>23.805</c:v>
                </c:pt>
                <c:pt idx="3">
                  <c:v>23.715</c:v>
                </c:pt>
                <c:pt idx="4">
                  <c:v>24.681666666666661</c:v>
                </c:pt>
                <c:pt idx="5">
                  <c:v>28.751666666666665</c:v>
                </c:pt>
                <c:pt idx="6">
                  <c:v>37.428333333333327</c:v>
                </c:pt>
                <c:pt idx="7">
                  <c:v>41.591666666666669</c:v>
                </c:pt>
                <c:pt idx="8">
                  <c:v>44.831666666666671</c:v>
                </c:pt>
                <c:pt idx="9">
                  <c:v>47.008333333333333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9A-48D2-A075-B9D196899E4E}"/>
            </c:ext>
          </c:extLst>
        </c:ser>
        <c:ser>
          <c:idx val="1"/>
          <c:order val="1"/>
          <c:tx>
            <c:strRef>
              <c:f>'Summary (2)'!$V$28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'Summary (2)'!$P$12:$Y$12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(2)'!$P$14:$Y$14</c:f>
              <c:numCache>
                <c:formatCode>General</c:formatCode>
                <c:ptCount val="10"/>
                <c:pt idx="0">
                  <c:v>6.7366666666666664</c:v>
                </c:pt>
                <c:pt idx="1">
                  <c:v>16.989999999999998</c:v>
                </c:pt>
                <c:pt idx="2">
                  <c:v>23.028333333333332</c:v>
                </c:pt>
                <c:pt idx="3">
                  <c:v>23.818333333333332</c:v>
                </c:pt>
                <c:pt idx="4">
                  <c:v>24.58</c:v>
                </c:pt>
                <c:pt idx="5">
                  <c:v>28.753333333333334</c:v>
                </c:pt>
                <c:pt idx="6">
                  <c:v>37.62833333333333</c:v>
                </c:pt>
                <c:pt idx="7">
                  <c:v>42.353333333333339</c:v>
                </c:pt>
                <c:pt idx="8">
                  <c:v>45.926666666666669</c:v>
                </c:pt>
                <c:pt idx="9">
                  <c:v>47.626666666666672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9A-48D2-A075-B9D196899E4E}"/>
            </c:ext>
          </c:extLst>
        </c:ser>
        <c:ser>
          <c:idx val="2"/>
          <c:order val="2"/>
          <c:tx>
            <c:strRef>
              <c:f>'Summary (2)'!$V$29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'Summary (2)'!$P$12:$Y$12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(2)'!$P$15:$Y$15</c:f>
              <c:numCache>
                <c:formatCode>General</c:formatCode>
                <c:ptCount val="10"/>
                <c:pt idx="0">
                  <c:v>17.216666666666669</c:v>
                </c:pt>
                <c:pt idx="1">
                  <c:v>28.001666666666665</c:v>
                </c:pt>
                <c:pt idx="2">
                  <c:v>30.765000000000001</c:v>
                </c:pt>
                <c:pt idx="3">
                  <c:v>30.734999999999999</c:v>
                </c:pt>
                <c:pt idx="4">
                  <c:v>30.024999999999995</c:v>
                </c:pt>
                <c:pt idx="5">
                  <c:v>31.421428571428571</c:v>
                </c:pt>
                <c:pt idx="6">
                  <c:v>36.331428571428575</c:v>
                </c:pt>
                <c:pt idx="7">
                  <c:v>41.2</c:v>
                </c:pt>
                <c:pt idx="8">
                  <c:v>44.255000000000003</c:v>
                </c:pt>
                <c:pt idx="9">
                  <c:v>45.701666666666668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9A-48D2-A075-B9D196899E4E}"/>
            </c:ext>
          </c:extLst>
        </c:ser>
        <c:ser>
          <c:idx val="3"/>
          <c:order val="3"/>
          <c:tx>
            <c:strRef>
              <c:f>'Summary (2)'!$V$30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'Summary (2)'!$P$12:$Y$12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(2)'!$P$16:$Y$16</c:f>
              <c:numCache>
                <c:formatCode>General</c:formatCode>
                <c:ptCount val="10"/>
                <c:pt idx="0">
                  <c:v>20.873333333333331</c:v>
                </c:pt>
                <c:pt idx="1">
                  <c:v>28.866666666666664</c:v>
                </c:pt>
                <c:pt idx="2">
                  <c:v>31.888333333333332</c:v>
                </c:pt>
                <c:pt idx="3">
                  <c:v>31.298333333333332</c:v>
                </c:pt>
                <c:pt idx="4">
                  <c:v>31.22</c:v>
                </c:pt>
                <c:pt idx="5">
                  <c:v>31.46833333333333</c:v>
                </c:pt>
                <c:pt idx="6">
                  <c:v>35.688333333333333</c:v>
                </c:pt>
                <c:pt idx="7">
                  <c:v>41.126666666666665</c:v>
                </c:pt>
                <c:pt idx="8">
                  <c:v>44.265000000000001</c:v>
                </c:pt>
                <c:pt idx="9">
                  <c:v>46.076666666666661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9A-48D2-A075-B9D196899E4E}"/>
            </c:ext>
          </c:extLst>
        </c:ser>
        <c:ser>
          <c:idx val="4"/>
          <c:order val="4"/>
          <c:tx>
            <c:strRef>
              <c:f>'Summary (2)'!$V$31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'Summary (2)'!$P$12:$Y$12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(2)'!$P$17:$Y$17</c:f>
              <c:numCache>
                <c:formatCode>General</c:formatCode>
                <c:ptCount val="10"/>
                <c:pt idx="0">
                  <c:v>19.728333333333335</c:v>
                </c:pt>
                <c:pt idx="1">
                  <c:v>27.74</c:v>
                </c:pt>
                <c:pt idx="2">
                  <c:v>31.301666666666666</c:v>
                </c:pt>
                <c:pt idx="3">
                  <c:v>31.44</c:v>
                </c:pt>
                <c:pt idx="4">
                  <c:v>30.635000000000002</c:v>
                </c:pt>
                <c:pt idx="5">
                  <c:v>30.090000000000003</c:v>
                </c:pt>
                <c:pt idx="6">
                  <c:v>34.546666666666667</c:v>
                </c:pt>
                <c:pt idx="7">
                  <c:v>40.75333333333333</c:v>
                </c:pt>
                <c:pt idx="8">
                  <c:v>44.37</c:v>
                </c:pt>
                <c:pt idx="9">
                  <c:v>45.831666666666671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9A-48D2-A075-B9D196899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197984"/>
        <c:axId val="938196544"/>
      </c:scatterChart>
      <c:valAx>
        <c:axId val="93819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196544"/>
        <c:crosses val="autoZero"/>
        <c:crossBetween val="midCat"/>
      </c:valAx>
      <c:valAx>
        <c:axId val="938196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 dirty="0">
                    <a:solidFill>
                      <a:prstClr val="black"/>
                    </a:solidFill>
                  </a:rPr>
                  <a:t>Subharmonic Intensity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19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(2)'!$V$27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(2)'!$P$20:$Y$20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(2)'!$P$21:$Y$21</c:f>
              <c:numCache>
                <c:formatCode>General</c:formatCode>
                <c:ptCount val="10"/>
                <c:pt idx="0">
                  <c:v>9.7666666666666657</c:v>
                </c:pt>
                <c:pt idx="1">
                  <c:v>20.151666666666664</c:v>
                </c:pt>
                <c:pt idx="2">
                  <c:v>27.705714285714286</c:v>
                </c:pt>
                <c:pt idx="3">
                  <c:v>28.258333333333336</c:v>
                </c:pt>
                <c:pt idx="4">
                  <c:v>29.161999999999999</c:v>
                </c:pt>
                <c:pt idx="5">
                  <c:v>33.276666666666671</c:v>
                </c:pt>
                <c:pt idx="6">
                  <c:v>42.643333333333331</c:v>
                </c:pt>
                <c:pt idx="7">
                  <c:v>47.594999999999999</c:v>
                </c:pt>
                <c:pt idx="8">
                  <c:v>50.341666666666669</c:v>
                </c:pt>
                <c:pt idx="9">
                  <c:v>52.448333333333331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2-426F-94B1-D087F297199D}"/>
            </c:ext>
          </c:extLst>
        </c:ser>
        <c:ser>
          <c:idx val="1"/>
          <c:order val="1"/>
          <c:tx>
            <c:strRef>
              <c:f>'Summary (2)'!$V$28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'Summary (2)'!$P$20:$Y$20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(2)'!$P$22:$Y$22</c:f>
              <c:numCache>
                <c:formatCode>General</c:formatCode>
                <c:ptCount val="10"/>
                <c:pt idx="0">
                  <c:v>12.811666666666667</c:v>
                </c:pt>
                <c:pt idx="1">
                  <c:v>23.821666666666665</c:v>
                </c:pt>
                <c:pt idx="2">
                  <c:v>30.116666666666664</c:v>
                </c:pt>
                <c:pt idx="3">
                  <c:v>30.121666666666666</c:v>
                </c:pt>
                <c:pt idx="4">
                  <c:v>30.66</c:v>
                </c:pt>
                <c:pt idx="5">
                  <c:v>33.903333333333336</c:v>
                </c:pt>
                <c:pt idx="6">
                  <c:v>42.656666666666666</c:v>
                </c:pt>
                <c:pt idx="7">
                  <c:v>48.023333333333333</c:v>
                </c:pt>
                <c:pt idx="8">
                  <c:v>51.664999999999999</c:v>
                </c:pt>
                <c:pt idx="9">
                  <c:v>52.938571428571429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A2-426F-94B1-D087F297199D}"/>
            </c:ext>
          </c:extLst>
        </c:ser>
        <c:ser>
          <c:idx val="2"/>
          <c:order val="2"/>
          <c:tx>
            <c:strRef>
              <c:f>'Summary (2)'!$V$29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'Summary (2)'!$P$20:$Y$20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(2)'!$P$23:$Y$23</c:f>
              <c:numCache>
                <c:formatCode>General</c:formatCode>
                <c:ptCount val="10"/>
                <c:pt idx="0">
                  <c:v>19.376666666666665</c:v>
                </c:pt>
                <c:pt idx="1">
                  <c:v>32.066666666666663</c:v>
                </c:pt>
                <c:pt idx="2">
                  <c:v>35.558333333333337</c:v>
                </c:pt>
                <c:pt idx="3">
                  <c:v>34.950000000000003</c:v>
                </c:pt>
                <c:pt idx="4">
                  <c:v>35.319999999999993</c:v>
                </c:pt>
                <c:pt idx="5">
                  <c:v>36.36666666666666</c:v>
                </c:pt>
                <c:pt idx="6">
                  <c:v>41.275000000000006</c:v>
                </c:pt>
                <c:pt idx="7">
                  <c:v>46.01</c:v>
                </c:pt>
                <c:pt idx="8">
                  <c:v>48.55</c:v>
                </c:pt>
                <c:pt idx="9">
                  <c:v>50.055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A2-426F-94B1-D087F297199D}"/>
            </c:ext>
          </c:extLst>
        </c:ser>
        <c:ser>
          <c:idx val="3"/>
          <c:order val="3"/>
          <c:tx>
            <c:strRef>
              <c:f>'Summary (2)'!$V$30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'Summary (2)'!$P$20:$Y$20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(2)'!$P$24:$Y$24</c:f>
              <c:numCache>
                <c:formatCode>General</c:formatCode>
                <c:ptCount val="10"/>
                <c:pt idx="0">
                  <c:v>26.322857142857142</c:v>
                </c:pt>
                <c:pt idx="1">
                  <c:v>34.066666666666663</c:v>
                </c:pt>
                <c:pt idx="2">
                  <c:v>37.283333333333331</c:v>
                </c:pt>
                <c:pt idx="3">
                  <c:v>37.064999999999998</c:v>
                </c:pt>
                <c:pt idx="4">
                  <c:v>36.408333333333331</c:v>
                </c:pt>
                <c:pt idx="5">
                  <c:v>36.971666666666664</c:v>
                </c:pt>
                <c:pt idx="6">
                  <c:v>41.601666666666674</c:v>
                </c:pt>
                <c:pt idx="7">
                  <c:v>46.326666666666668</c:v>
                </c:pt>
                <c:pt idx="8">
                  <c:v>49.234999999999999</c:v>
                </c:pt>
                <c:pt idx="9">
                  <c:v>51.543333333333337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A2-426F-94B1-D087F297199D}"/>
            </c:ext>
          </c:extLst>
        </c:ser>
        <c:ser>
          <c:idx val="4"/>
          <c:order val="4"/>
          <c:tx>
            <c:strRef>
              <c:f>'Summary (2)'!$V$31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'Summary (2)'!$P$20:$Y$20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'Summary (2)'!$P$25:$Y$25</c:f>
              <c:numCache>
                <c:formatCode>General</c:formatCode>
                <c:ptCount val="10"/>
                <c:pt idx="0">
                  <c:v>27.146666666666665</c:v>
                </c:pt>
                <c:pt idx="1">
                  <c:v>34.200000000000003</c:v>
                </c:pt>
                <c:pt idx="2">
                  <c:v>37.934999999999988</c:v>
                </c:pt>
                <c:pt idx="3">
                  <c:v>37.776666666666671</c:v>
                </c:pt>
                <c:pt idx="4">
                  <c:v>36.783333333333331</c:v>
                </c:pt>
                <c:pt idx="5">
                  <c:v>37.101666666666659</c:v>
                </c:pt>
                <c:pt idx="6">
                  <c:v>41.944999999999993</c:v>
                </c:pt>
                <c:pt idx="7">
                  <c:v>47.466666666666669</c:v>
                </c:pt>
                <c:pt idx="8">
                  <c:v>51.028333333333329</c:v>
                </c:pt>
                <c:pt idx="9">
                  <c:v>52.46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A2-426F-94B1-D087F297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164768"/>
        <c:axId val="938165248"/>
      </c:scatterChart>
      <c:valAx>
        <c:axId val="93816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165248"/>
        <c:crosses val="autoZero"/>
        <c:crossBetween val="midCat"/>
      </c:valAx>
      <c:valAx>
        <c:axId val="938165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 dirty="0">
                    <a:solidFill>
                      <a:prstClr val="black"/>
                    </a:solidFill>
                  </a:rPr>
                  <a:t>Subharmonic Intensity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16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Combined'!$AB$17:$AB$21</c:f>
              <c:numCache>
                <c:formatCode>General</c:formatCode>
                <c:ptCount val="5"/>
                <c:pt idx="0">
                  <c:v>0</c:v>
                </c:pt>
                <c:pt idx="1">
                  <c:v>3.1833333333333336</c:v>
                </c:pt>
                <c:pt idx="2">
                  <c:v>8.0951515151515157</c:v>
                </c:pt>
                <c:pt idx="3">
                  <c:v>12.691515151515153</c:v>
                </c:pt>
                <c:pt idx="4">
                  <c:v>12.596969696969696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C-4F2A-8497-4EC83E3F281F}"/>
            </c:ext>
          </c:extLst>
        </c:ser>
        <c:ser>
          <c:idx val="1"/>
          <c:order val="1"/>
          <c:tx>
            <c:v>120 kPa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Combined'!$AC$17:$AC$21</c:f>
              <c:numCache>
                <c:formatCode>General</c:formatCode>
                <c:ptCount val="5"/>
                <c:pt idx="0">
                  <c:v>0</c:v>
                </c:pt>
                <c:pt idx="1">
                  <c:v>4.7383333333333315</c:v>
                </c:pt>
                <c:pt idx="2">
                  <c:v>9.0516666666666676</c:v>
                </c:pt>
                <c:pt idx="3">
                  <c:v>10.626136363636361</c:v>
                </c:pt>
                <c:pt idx="4">
                  <c:v>10.135227272727279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7C-4F2A-8497-4EC83E3F281F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Combined'!$AD$17:$AD$21</c:f>
              <c:numCache>
                <c:formatCode>General</c:formatCode>
                <c:ptCount val="5"/>
                <c:pt idx="0">
                  <c:v>0</c:v>
                </c:pt>
                <c:pt idx="1">
                  <c:v>3.1797202797202786</c:v>
                </c:pt>
                <c:pt idx="2">
                  <c:v>5.5488111888111824</c:v>
                </c:pt>
                <c:pt idx="3">
                  <c:v>7.2332051282051246</c:v>
                </c:pt>
                <c:pt idx="4">
                  <c:v>6.6473717948717983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7C-4F2A-8497-4EC83E3F281F}"/>
            </c:ext>
          </c:extLst>
        </c:ser>
        <c:ser>
          <c:idx val="3"/>
          <c:order val="3"/>
          <c:tx>
            <c:v>256 kPa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Combined'!$AE$17:$AE$21</c:f>
              <c:numCache>
                <c:formatCode>General</c:formatCode>
                <c:ptCount val="5"/>
                <c:pt idx="0">
                  <c:v>0</c:v>
                </c:pt>
                <c:pt idx="1">
                  <c:v>2.6681818181818144</c:v>
                </c:pt>
                <c:pt idx="2">
                  <c:v>4.6409090909090907</c:v>
                </c:pt>
                <c:pt idx="3">
                  <c:v>6.0010606060606086</c:v>
                </c:pt>
                <c:pt idx="4">
                  <c:v>5.8577272727272707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7C-4F2A-8497-4EC83E3F281F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Combined'!$AF$17:$AF$21</c:f>
              <c:numCache>
                <c:formatCode>General</c:formatCode>
                <c:ptCount val="5"/>
                <c:pt idx="0">
                  <c:v>0</c:v>
                </c:pt>
                <c:pt idx="1">
                  <c:v>0.71100000000000207</c:v>
                </c:pt>
                <c:pt idx="2">
                  <c:v>3.4160000000000004</c:v>
                </c:pt>
                <c:pt idx="3">
                  <c:v>5.2943333333333378</c:v>
                </c:pt>
                <c:pt idx="4">
                  <c:v>4.5818333333333321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7C-4F2A-8497-4EC83E3F281F}"/>
            </c:ext>
          </c:extLst>
        </c:ser>
        <c:ser>
          <c:idx val="5"/>
          <c:order val="5"/>
          <c:tx>
            <c:v>427 kPa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Combined'!$AG$17:$AG$21</c:f>
              <c:numCache>
                <c:formatCode>General</c:formatCode>
                <c:ptCount val="5"/>
                <c:pt idx="0">
                  <c:v>0</c:v>
                </c:pt>
                <c:pt idx="1">
                  <c:v>0.6666666666666643</c:v>
                </c:pt>
                <c:pt idx="2">
                  <c:v>0.62416666666666387</c:v>
                </c:pt>
                <c:pt idx="3">
                  <c:v>1.4158333333333317</c:v>
                </c:pt>
                <c:pt idx="4">
                  <c:v>0.22583333333333044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7C-4F2A-8497-4EC83E3F281F}"/>
            </c:ext>
          </c:extLst>
        </c:ser>
        <c:ser>
          <c:idx val="6"/>
          <c:order val="6"/>
          <c:tx>
            <c:v>522 kPa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Combined'!$AH$17:$AH$21</c:f>
              <c:numCache>
                <c:formatCode>General</c:formatCode>
                <c:ptCount val="5"/>
                <c:pt idx="0">
                  <c:v>0</c:v>
                </c:pt>
                <c:pt idx="1">
                  <c:v>-0.53969696969696201</c:v>
                </c:pt>
                <c:pt idx="2">
                  <c:v>-3.9786713286713251</c:v>
                </c:pt>
                <c:pt idx="3">
                  <c:v>-3.5980303030302991</c:v>
                </c:pt>
                <c:pt idx="4">
                  <c:v>-4.6781818181818124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7C-4F2A-8497-4EC83E3F281F}"/>
            </c:ext>
          </c:extLst>
        </c:ser>
        <c:ser>
          <c:idx val="7"/>
          <c:order val="7"/>
          <c:tx>
            <c:v>586 kPa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Combined'!$AI$17:$AI$21</c:f>
              <c:numCache>
                <c:formatCode>General</c:formatCode>
                <c:ptCount val="5"/>
                <c:pt idx="0">
                  <c:v>0</c:v>
                </c:pt>
                <c:pt idx="1">
                  <c:v>-0.27818181818181387</c:v>
                </c:pt>
                <c:pt idx="2">
                  <c:v>-3.433939393939383</c:v>
                </c:pt>
                <c:pt idx="3">
                  <c:v>-3.3872727272727303</c:v>
                </c:pt>
                <c:pt idx="4">
                  <c:v>-3.537272727272736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7C-4F2A-8497-4EC83E3F281F}"/>
            </c:ext>
          </c:extLst>
        </c:ser>
        <c:ser>
          <c:idx val="8"/>
          <c:order val="8"/>
          <c:tx>
            <c:v>638 kPa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Combined'!$AJ$17:$AJ$21</c:f>
              <c:numCache>
                <c:formatCode>General</c:formatCode>
                <c:ptCount val="5"/>
                <c:pt idx="0">
                  <c:v>0</c:v>
                </c:pt>
                <c:pt idx="1">
                  <c:v>0.47628787878787904</c:v>
                </c:pt>
                <c:pt idx="2">
                  <c:v>-2.975378787878789</c:v>
                </c:pt>
                <c:pt idx="3">
                  <c:v>-3.749545454545455</c:v>
                </c:pt>
                <c:pt idx="4">
                  <c:v>-2.9195454545454496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37C-4F2A-8497-4EC83E3F281F}"/>
            </c:ext>
          </c:extLst>
        </c:ser>
        <c:ser>
          <c:idx val="9"/>
          <c:order val="9"/>
          <c:tx>
            <c:v>705 kPa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Combined'!$AK$17:$AK$21</c:f>
              <c:numCache>
                <c:formatCode>General</c:formatCode>
                <c:ptCount val="5"/>
                <c:pt idx="0">
                  <c:v>0</c:v>
                </c:pt>
                <c:pt idx="1">
                  <c:v>-2.1089743589740806E-2</c:v>
                </c:pt>
                <c:pt idx="2">
                  <c:v>-3.5133333333333283</c:v>
                </c:pt>
                <c:pt idx="3">
                  <c:v>-3.1633333333333269</c:v>
                </c:pt>
                <c:pt idx="4">
                  <c:v>-2.8774999999999906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37C-4F2A-8497-4EC83E3F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'High Combined'!$AA$4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Combined'!$AB$11:$AK$11</c:f>
                <c:numCache>
                  <c:formatCode>General</c:formatCode>
                  <c:ptCount val="10"/>
                  <c:pt idx="0">
                    <c:v>1.6920122799659427</c:v>
                  </c:pt>
                  <c:pt idx="1">
                    <c:v>1.4546312533880652</c:v>
                  </c:pt>
                  <c:pt idx="2">
                    <c:v>0.85591917441782694</c:v>
                  </c:pt>
                  <c:pt idx="3">
                    <c:v>1.1187337883769304</c:v>
                  </c:pt>
                  <c:pt idx="4">
                    <c:v>0.83585225967272458</c:v>
                  </c:pt>
                  <c:pt idx="5">
                    <c:v>0.86358104554362558</c:v>
                  </c:pt>
                  <c:pt idx="6">
                    <c:v>0.71787910766586649</c:v>
                  </c:pt>
                  <c:pt idx="7">
                    <c:v>0.72647456201590355</c:v>
                  </c:pt>
                  <c:pt idx="8">
                    <c:v>0.83265581273377165</c:v>
                  </c:pt>
                  <c:pt idx="9">
                    <c:v>0.62550590635811587</c:v>
                  </c:pt>
                </c:numCache>
              </c:numRef>
            </c:plus>
            <c:minus>
              <c:numRef>
                <c:f>'High Combined'!$AB$11:$AK$11</c:f>
                <c:numCache>
                  <c:formatCode>General</c:formatCode>
                  <c:ptCount val="10"/>
                  <c:pt idx="0">
                    <c:v>1.6920122799659427</c:v>
                  </c:pt>
                  <c:pt idx="1">
                    <c:v>1.4546312533880652</c:v>
                  </c:pt>
                  <c:pt idx="2">
                    <c:v>0.85591917441782694</c:v>
                  </c:pt>
                  <c:pt idx="3">
                    <c:v>1.1187337883769304</c:v>
                  </c:pt>
                  <c:pt idx="4">
                    <c:v>0.83585225967272458</c:v>
                  </c:pt>
                  <c:pt idx="5">
                    <c:v>0.86358104554362558</c:v>
                  </c:pt>
                  <c:pt idx="6">
                    <c:v>0.71787910766586649</c:v>
                  </c:pt>
                  <c:pt idx="7">
                    <c:v>0.72647456201590355</c:v>
                  </c:pt>
                  <c:pt idx="8">
                    <c:v>0.83265581273377165</c:v>
                  </c:pt>
                  <c:pt idx="9">
                    <c:v>0.62550590635811587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Combined'!$AB$4:$AK$4</c:f>
              <c:numCache>
                <c:formatCode>General</c:formatCode>
                <c:ptCount val="10"/>
                <c:pt idx="0">
                  <c:v>11.216666666666667</c:v>
                </c:pt>
                <c:pt idx="1">
                  <c:v>21.527500000000003</c:v>
                </c:pt>
                <c:pt idx="2">
                  <c:v>28.46846153846154</c:v>
                </c:pt>
                <c:pt idx="3">
                  <c:v>29.187272727272727</c:v>
                </c:pt>
                <c:pt idx="4">
                  <c:v>29.948999999999998</c:v>
                </c:pt>
                <c:pt idx="5">
                  <c:v>34.023333333333333</c:v>
                </c:pt>
                <c:pt idx="6">
                  <c:v>43.196363636363628</c:v>
                </c:pt>
                <c:pt idx="7">
                  <c:v>48.217272727272729</c:v>
                </c:pt>
                <c:pt idx="8">
                  <c:v>51.014545454545456</c:v>
                </c:pt>
                <c:pt idx="9">
                  <c:v>52.974166666666662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0-442B-96AA-9C77F6200251}"/>
            </c:ext>
          </c:extLst>
        </c:ser>
        <c:ser>
          <c:idx val="1"/>
          <c:order val="1"/>
          <c:tx>
            <c:strRef>
              <c:f>'High Combined'!$AA$5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Combined'!$AB$12:$AK$12</c:f>
                <c:numCache>
                  <c:formatCode>General</c:formatCode>
                  <c:ptCount val="10"/>
                  <c:pt idx="0">
                    <c:v>1.7857007791696939</c:v>
                  </c:pt>
                  <c:pt idx="1">
                    <c:v>2.4683039329781686</c:v>
                  </c:pt>
                  <c:pt idx="2">
                    <c:v>1.704805071138197</c:v>
                  </c:pt>
                  <c:pt idx="3">
                    <c:v>1.9181968978295676</c:v>
                  </c:pt>
                  <c:pt idx="4">
                    <c:v>0.31128764832546746</c:v>
                  </c:pt>
                  <c:pt idx="5">
                    <c:v>0.91670358052396372</c:v>
                  </c:pt>
                  <c:pt idx="6">
                    <c:v>0.45301459382918591</c:v>
                  </c:pt>
                  <c:pt idx="7">
                    <c:v>0.4495139707699366</c:v>
                  </c:pt>
                  <c:pt idx="8">
                    <c:v>0.50450401936511524</c:v>
                  </c:pt>
                  <c:pt idx="9">
                    <c:v>0.38579358002762587</c:v>
                  </c:pt>
                </c:numCache>
              </c:numRef>
            </c:plus>
            <c:minus>
              <c:numRef>
                <c:f>'High Combined'!$AB$12:$AK$12</c:f>
                <c:numCache>
                  <c:formatCode>General</c:formatCode>
                  <c:ptCount val="10"/>
                  <c:pt idx="0">
                    <c:v>1.7857007791696939</c:v>
                  </c:pt>
                  <c:pt idx="1">
                    <c:v>2.4683039329781686</c:v>
                  </c:pt>
                  <c:pt idx="2">
                    <c:v>1.704805071138197</c:v>
                  </c:pt>
                  <c:pt idx="3">
                    <c:v>1.9181968978295676</c:v>
                  </c:pt>
                  <c:pt idx="4">
                    <c:v>0.31128764832546746</c:v>
                  </c:pt>
                  <c:pt idx="5">
                    <c:v>0.91670358052396372</c:v>
                  </c:pt>
                  <c:pt idx="6">
                    <c:v>0.45301459382918591</c:v>
                  </c:pt>
                  <c:pt idx="7">
                    <c:v>0.4495139707699366</c:v>
                  </c:pt>
                  <c:pt idx="8">
                    <c:v>0.50450401936511524</c:v>
                  </c:pt>
                  <c:pt idx="9">
                    <c:v>0.38579358002762587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Combined'!$AB$5:$AK$5</c:f>
              <c:numCache>
                <c:formatCode>General</c:formatCode>
                <c:ptCount val="10"/>
                <c:pt idx="0">
                  <c:v>14.4</c:v>
                </c:pt>
                <c:pt idx="1">
                  <c:v>26.265833333333333</c:v>
                </c:pt>
                <c:pt idx="2">
                  <c:v>31.648181818181818</c:v>
                </c:pt>
                <c:pt idx="3">
                  <c:v>31.855454545454542</c:v>
                </c:pt>
                <c:pt idx="4">
                  <c:v>30.66</c:v>
                </c:pt>
                <c:pt idx="5">
                  <c:v>34.69</c:v>
                </c:pt>
                <c:pt idx="6">
                  <c:v>42.656666666666666</c:v>
                </c:pt>
                <c:pt idx="7">
                  <c:v>47.939090909090915</c:v>
                </c:pt>
                <c:pt idx="8">
                  <c:v>51.490833333333335</c:v>
                </c:pt>
                <c:pt idx="9">
                  <c:v>52.953076923076921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10-442B-96AA-9C77F6200251}"/>
            </c:ext>
          </c:extLst>
        </c:ser>
        <c:ser>
          <c:idx val="2"/>
          <c:order val="2"/>
          <c:tx>
            <c:strRef>
              <c:f>'High Combined'!$AA$6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'High Combined'!$AB$13:$AK$13</c:f>
                <c:numCache>
                  <c:formatCode>General</c:formatCode>
                  <c:ptCount val="10"/>
                  <c:pt idx="0">
                    <c:v>1.5625202147452579</c:v>
                  </c:pt>
                  <c:pt idx="1">
                    <c:v>0.74496597610599313</c:v>
                  </c:pt>
                  <c:pt idx="2">
                    <c:v>0.50931488579518525</c:v>
                  </c:pt>
                  <c:pt idx="3">
                    <c:v>0.29642776774047896</c:v>
                  </c:pt>
                  <c:pt idx="4">
                    <c:v>0.40107148157570821</c:v>
                  </c:pt>
                  <c:pt idx="5">
                    <c:v>0.55490427102339068</c:v>
                  </c:pt>
                  <c:pt idx="6">
                    <c:v>0.5221428311244678</c:v>
                  </c:pt>
                  <c:pt idx="7">
                    <c:v>0.95908231601301519</c:v>
                  </c:pt>
                  <c:pt idx="8">
                    <c:v>0.96127916803022784</c:v>
                  </c:pt>
                  <c:pt idx="9">
                    <c:v>1.2631010670391958</c:v>
                  </c:pt>
                </c:numCache>
              </c:numRef>
            </c:plus>
            <c:minus>
              <c:numRef>
                <c:f>'High Combined'!$AB$13:$AK$13</c:f>
                <c:numCache>
                  <c:formatCode>General</c:formatCode>
                  <c:ptCount val="10"/>
                  <c:pt idx="0">
                    <c:v>1.5625202147452579</c:v>
                  </c:pt>
                  <c:pt idx="1">
                    <c:v>0.74496597610599313</c:v>
                  </c:pt>
                  <c:pt idx="2">
                    <c:v>0.50931488579518525</c:v>
                  </c:pt>
                  <c:pt idx="3">
                    <c:v>0.29642776774047896</c:v>
                  </c:pt>
                  <c:pt idx="4">
                    <c:v>0.40107148157570821</c:v>
                  </c:pt>
                  <c:pt idx="5">
                    <c:v>0.55490427102339068</c:v>
                  </c:pt>
                  <c:pt idx="6">
                    <c:v>0.5221428311244678</c:v>
                  </c:pt>
                  <c:pt idx="7">
                    <c:v>0.95908231601301519</c:v>
                  </c:pt>
                  <c:pt idx="8">
                    <c:v>0.96127916803022784</c:v>
                  </c:pt>
                  <c:pt idx="9">
                    <c:v>1.2631010670391958</c:v>
                  </c:pt>
                </c:numCache>
              </c:numRef>
            </c:minus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Combined'!$AB$13:$AK$13</c:f>
                <c:numCache>
                  <c:formatCode>General</c:formatCode>
                  <c:ptCount val="10"/>
                  <c:pt idx="0">
                    <c:v>1.5625202147452579</c:v>
                  </c:pt>
                  <c:pt idx="1">
                    <c:v>0.74496597610599313</c:v>
                  </c:pt>
                  <c:pt idx="2">
                    <c:v>0.50931488579518525</c:v>
                  </c:pt>
                  <c:pt idx="3">
                    <c:v>0.29642776774047896</c:v>
                  </c:pt>
                  <c:pt idx="4">
                    <c:v>0.40107148157570821</c:v>
                  </c:pt>
                  <c:pt idx="5">
                    <c:v>0.55490427102339068</c:v>
                  </c:pt>
                  <c:pt idx="6">
                    <c:v>0.5221428311244678</c:v>
                  </c:pt>
                  <c:pt idx="7">
                    <c:v>0.95908231601301519</c:v>
                  </c:pt>
                  <c:pt idx="8">
                    <c:v>0.96127916803022784</c:v>
                  </c:pt>
                  <c:pt idx="9">
                    <c:v>1.2631010670391958</c:v>
                  </c:pt>
                </c:numCache>
              </c:numRef>
            </c:plus>
            <c:minus>
              <c:numRef>
                <c:f>'High Combined'!$AB$13:$AK$13</c:f>
                <c:numCache>
                  <c:formatCode>General</c:formatCode>
                  <c:ptCount val="10"/>
                  <c:pt idx="0">
                    <c:v>1.5625202147452579</c:v>
                  </c:pt>
                  <c:pt idx="1">
                    <c:v>0.74496597610599313</c:v>
                  </c:pt>
                  <c:pt idx="2">
                    <c:v>0.50931488579518525</c:v>
                  </c:pt>
                  <c:pt idx="3">
                    <c:v>0.29642776774047896</c:v>
                  </c:pt>
                  <c:pt idx="4">
                    <c:v>0.40107148157570821</c:v>
                  </c:pt>
                  <c:pt idx="5">
                    <c:v>0.55490427102339068</c:v>
                  </c:pt>
                  <c:pt idx="6">
                    <c:v>0.5221428311244678</c:v>
                  </c:pt>
                  <c:pt idx="7">
                    <c:v>0.95908231601301519</c:v>
                  </c:pt>
                  <c:pt idx="8">
                    <c:v>0.96127916803022784</c:v>
                  </c:pt>
                  <c:pt idx="9">
                    <c:v>1.2631010670391958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Combined'!$AB$6:$AK$6</c:f>
              <c:numCache>
                <c:formatCode>General</c:formatCode>
                <c:ptCount val="10"/>
                <c:pt idx="0">
                  <c:v>19.311818181818182</c:v>
                </c:pt>
                <c:pt idx="1">
                  <c:v>30.579166666666669</c:v>
                </c:pt>
                <c:pt idx="2">
                  <c:v>34.017272727272726</c:v>
                </c:pt>
                <c:pt idx="3">
                  <c:v>33.828181818181818</c:v>
                </c:pt>
                <c:pt idx="4">
                  <c:v>33.364999999999995</c:v>
                </c:pt>
                <c:pt idx="5">
                  <c:v>34.647499999999994</c:v>
                </c:pt>
                <c:pt idx="6">
                  <c:v>39.217692307692303</c:v>
                </c:pt>
                <c:pt idx="7">
                  <c:v>44.783333333333346</c:v>
                </c:pt>
                <c:pt idx="8">
                  <c:v>48.039166666666667</c:v>
                </c:pt>
                <c:pt idx="9">
                  <c:v>49.460833333333333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10-442B-96AA-9C77F6200251}"/>
            </c:ext>
          </c:extLst>
        </c:ser>
        <c:ser>
          <c:idx val="3"/>
          <c:order val="3"/>
          <c:tx>
            <c:strRef>
              <c:f>'High Combined'!$AA$7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Combined'!$AB$14:$AK$14</c:f>
                <c:numCache>
                  <c:formatCode>General</c:formatCode>
                  <c:ptCount val="10"/>
                  <c:pt idx="0">
                    <c:v>0.86541443757331138</c:v>
                  </c:pt>
                  <c:pt idx="1">
                    <c:v>0.53981937597467311</c:v>
                  </c:pt>
                  <c:pt idx="2">
                    <c:v>0.96183707329025114</c:v>
                  </c:pt>
                  <c:pt idx="3">
                    <c:v>0.93067030801579897</c:v>
                  </c:pt>
                  <c:pt idx="4">
                    <c:v>1.1108280194921665</c:v>
                  </c:pt>
                  <c:pt idx="5">
                    <c:v>1.0176480918710995</c:v>
                  </c:pt>
                  <c:pt idx="6">
                    <c:v>0.97619869334520681</c:v>
                  </c:pt>
                  <c:pt idx="7">
                    <c:v>0.94587701808075053</c:v>
                  </c:pt>
                  <c:pt idx="8">
                    <c:v>0.6461875372779432</c:v>
                  </c:pt>
                  <c:pt idx="9">
                    <c:v>1.1368264183926926</c:v>
                  </c:pt>
                </c:numCache>
              </c:numRef>
            </c:plus>
            <c:minus>
              <c:numRef>
                <c:f>'High Combined'!$AB$14:$AK$14</c:f>
                <c:numCache>
                  <c:formatCode>General</c:formatCode>
                  <c:ptCount val="10"/>
                  <c:pt idx="0">
                    <c:v>0.86541443757331138</c:v>
                  </c:pt>
                  <c:pt idx="1">
                    <c:v>0.53981937597467311</c:v>
                  </c:pt>
                  <c:pt idx="2">
                    <c:v>0.96183707329025114</c:v>
                  </c:pt>
                  <c:pt idx="3">
                    <c:v>0.93067030801579897</c:v>
                  </c:pt>
                  <c:pt idx="4">
                    <c:v>1.1108280194921665</c:v>
                  </c:pt>
                  <c:pt idx="5">
                    <c:v>1.0176480918710995</c:v>
                  </c:pt>
                  <c:pt idx="6">
                    <c:v>0.97619869334520681</c:v>
                  </c:pt>
                  <c:pt idx="7">
                    <c:v>0.94587701808075053</c:v>
                  </c:pt>
                  <c:pt idx="8">
                    <c:v>0.6461875372779432</c:v>
                  </c:pt>
                  <c:pt idx="9">
                    <c:v>1.1368264183926926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Combined'!$AB$7:$AK$7</c:f>
              <c:numCache>
                <c:formatCode>General</c:formatCode>
                <c:ptCount val="10"/>
                <c:pt idx="0">
                  <c:v>23.90818181818182</c:v>
                </c:pt>
                <c:pt idx="1">
                  <c:v>32.153636363636366</c:v>
                </c:pt>
                <c:pt idx="2">
                  <c:v>35.701666666666668</c:v>
                </c:pt>
                <c:pt idx="3">
                  <c:v>35.188333333333333</c:v>
                </c:pt>
                <c:pt idx="4">
                  <c:v>35.243333333333339</c:v>
                </c:pt>
                <c:pt idx="5">
                  <c:v>35.439166666666665</c:v>
                </c:pt>
                <c:pt idx="6">
                  <c:v>39.598333333333329</c:v>
                </c:pt>
                <c:pt idx="7">
                  <c:v>44.83</c:v>
                </c:pt>
                <c:pt idx="8">
                  <c:v>47.265000000000001</c:v>
                </c:pt>
                <c:pt idx="9">
                  <c:v>49.810833333333335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10-442B-96AA-9C77F6200251}"/>
            </c:ext>
          </c:extLst>
        </c:ser>
        <c:ser>
          <c:idx val="4"/>
          <c:order val="4"/>
          <c:tx>
            <c:strRef>
              <c:f>'High Combined'!$AA$8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Combined'!$AB$15:$AK$15</c:f>
                <c:numCache>
                  <c:formatCode>General</c:formatCode>
                  <c:ptCount val="10"/>
                  <c:pt idx="0">
                    <c:v>1.3419475177874387</c:v>
                  </c:pt>
                  <c:pt idx="1">
                    <c:v>1.0601122660024864</c:v>
                  </c:pt>
                  <c:pt idx="2">
                    <c:v>0.9455373986375275</c:v>
                  </c:pt>
                  <c:pt idx="3">
                    <c:v>0.76917163234222263</c:v>
                  </c:pt>
                  <c:pt idx="4">
                    <c:v>1.0380948763105537</c:v>
                  </c:pt>
                  <c:pt idx="5">
                    <c:v>1.2381401262467111</c:v>
                  </c:pt>
                  <c:pt idx="6">
                    <c:v>1.2395513717897237</c:v>
                  </c:pt>
                  <c:pt idx="7">
                    <c:v>1.0043156874210415</c:v>
                  </c:pt>
                  <c:pt idx="8">
                    <c:v>0.96593219223711524</c:v>
                  </c:pt>
                  <c:pt idx="9">
                    <c:v>1.4809981619014783</c:v>
                  </c:pt>
                </c:numCache>
              </c:numRef>
            </c:plus>
            <c:minus>
              <c:numRef>
                <c:f>'High Combined'!$AB$15:$AK$15</c:f>
                <c:numCache>
                  <c:formatCode>General</c:formatCode>
                  <c:ptCount val="10"/>
                  <c:pt idx="0">
                    <c:v>1.3419475177874387</c:v>
                  </c:pt>
                  <c:pt idx="1">
                    <c:v>1.0601122660024864</c:v>
                  </c:pt>
                  <c:pt idx="2">
                    <c:v>0.9455373986375275</c:v>
                  </c:pt>
                  <c:pt idx="3">
                    <c:v>0.76917163234222263</c:v>
                  </c:pt>
                  <c:pt idx="4">
                    <c:v>1.0380948763105537</c:v>
                  </c:pt>
                  <c:pt idx="5">
                    <c:v>1.2381401262467111</c:v>
                  </c:pt>
                  <c:pt idx="6">
                    <c:v>1.2395513717897237</c:v>
                  </c:pt>
                  <c:pt idx="7">
                    <c:v>1.0043156874210415</c:v>
                  </c:pt>
                  <c:pt idx="8">
                    <c:v>0.96593219223711524</c:v>
                  </c:pt>
                  <c:pt idx="9">
                    <c:v>1.4809981619014783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'High Combined'!$AB$8:$AK$8</c:f>
              <c:numCache>
                <c:formatCode>General</c:formatCode>
                <c:ptCount val="10"/>
                <c:pt idx="0">
                  <c:v>23.813636363636363</c:v>
                </c:pt>
                <c:pt idx="1">
                  <c:v>31.662727272727281</c:v>
                </c:pt>
                <c:pt idx="2">
                  <c:v>35.115833333333342</c:v>
                </c:pt>
                <c:pt idx="3">
                  <c:v>35.045000000000002</c:v>
                </c:pt>
                <c:pt idx="4">
                  <c:v>34.530833333333334</c:v>
                </c:pt>
                <c:pt idx="5">
                  <c:v>34.249166666666667</c:v>
                </c:pt>
                <c:pt idx="6">
                  <c:v>38.518181818181816</c:v>
                </c:pt>
                <c:pt idx="7">
                  <c:v>44.679999999999993</c:v>
                </c:pt>
                <c:pt idx="8">
                  <c:v>48.095000000000006</c:v>
                </c:pt>
                <c:pt idx="9">
                  <c:v>50.096666666666671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10-442B-96AA-9C77F6200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564767"/>
        <c:axId val="413981599"/>
      </c:scatterChart>
      <c:valAx>
        <c:axId val="117456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81599"/>
        <c:crosses val="autoZero"/>
        <c:crossBetween val="midCat"/>
      </c:valAx>
      <c:valAx>
        <c:axId val="413981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6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Combined'!$AB$11:$AB$15</c:f>
                <c:numCache>
                  <c:formatCode>General</c:formatCode>
                  <c:ptCount val="5"/>
                  <c:pt idx="0">
                    <c:v>1.6920122799659427</c:v>
                  </c:pt>
                  <c:pt idx="1">
                    <c:v>1.7857007791696939</c:v>
                  </c:pt>
                  <c:pt idx="2">
                    <c:v>1.5625202147452579</c:v>
                  </c:pt>
                  <c:pt idx="3">
                    <c:v>0.86541443757331138</c:v>
                  </c:pt>
                  <c:pt idx="4">
                    <c:v>1.3419475177874387</c:v>
                  </c:pt>
                </c:numCache>
              </c:numRef>
            </c:plus>
            <c:minus>
              <c:numRef>
                <c:f>'High Combined'!$AB$11:$AB$15</c:f>
                <c:numCache>
                  <c:formatCode>General</c:formatCode>
                  <c:ptCount val="5"/>
                  <c:pt idx="0">
                    <c:v>1.6920122799659427</c:v>
                  </c:pt>
                  <c:pt idx="1">
                    <c:v>1.7857007791696939</c:v>
                  </c:pt>
                  <c:pt idx="2">
                    <c:v>1.5625202147452579</c:v>
                  </c:pt>
                  <c:pt idx="3">
                    <c:v>0.86541443757331138</c:v>
                  </c:pt>
                  <c:pt idx="4">
                    <c:v>1.3419475177874387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Combined'!$AB$17:$AB$21</c:f>
              <c:numCache>
                <c:formatCode>General</c:formatCode>
                <c:ptCount val="5"/>
                <c:pt idx="0">
                  <c:v>0</c:v>
                </c:pt>
                <c:pt idx="1">
                  <c:v>3.1833333333333336</c:v>
                </c:pt>
                <c:pt idx="2">
                  <c:v>8.0951515151515157</c:v>
                </c:pt>
                <c:pt idx="3">
                  <c:v>12.691515151515153</c:v>
                </c:pt>
                <c:pt idx="4">
                  <c:v>12.596969696969696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B-4D7A-9376-63685395C466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Combined'!$AD$11:$AD$15</c:f>
                <c:numCache>
                  <c:formatCode>General</c:formatCode>
                  <c:ptCount val="5"/>
                  <c:pt idx="0">
                    <c:v>0.85591917441782694</c:v>
                  </c:pt>
                  <c:pt idx="1">
                    <c:v>1.704805071138197</c:v>
                  </c:pt>
                  <c:pt idx="2">
                    <c:v>0.50931488579518525</c:v>
                  </c:pt>
                  <c:pt idx="3">
                    <c:v>0.96183707329025114</c:v>
                  </c:pt>
                  <c:pt idx="4">
                    <c:v>0.9455373986375275</c:v>
                  </c:pt>
                </c:numCache>
              </c:numRef>
            </c:plus>
            <c:minus>
              <c:numRef>
                <c:f>'High Combined'!$AD$11:$AD$15</c:f>
                <c:numCache>
                  <c:formatCode>General</c:formatCode>
                  <c:ptCount val="5"/>
                  <c:pt idx="0">
                    <c:v>0.85591917441782694</c:v>
                  </c:pt>
                  <c:pt idx="1">
                    <c:v>1.704805071138197</c:v>
                  </c:pt>
                  <c:pt idx="2">
                    <c:v>0.50931488579518525</c:v>
                  </c:pt>
                  <c:pt idx="3">
                    <c:v>0.96183707329025114</c:v>
                  </c:pt>
                  <c:pt idx="4">
                    <c:v>0.9455373986375275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Combined'!$AD$17:$AD$21</c:f>
              <c:numCache>
                <c:formatCode>General</c:formatCode>
                <c:ptCount val="5"/>
                <c:pt idx="0">
                  <c:v>0</c:v>
                </c:pt>
                <c:pt idx="1">
                  <c:v>3.1797202797202786</c:v>
                </c:pt>
                <c:pt idx="2">
                  <c:v>5.5488111888111824</c:v>
                </c:pt>
                <c:pt idx="3">
                  <c:v>7.2332051282051246</c:v>
                </c:pt>
                <c:pt idx="4">
                  <c:v>6.6473717948717983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6B-4D7A-9376-63685395C466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'High Combined'!$AF$11:$AF$15</c:f>
                <c:numCache>
                  <c:formatCode>General</c:formatCode>
                  <c:ptCount val="5"/>
                  <c:pt idx="0">
                    <c:v>0.83585225967272458</c:v>
                  </c:pt>
                  <c:pt idx="1">
                    <c:v>0.31128764832546746</c:v>
                  </c:pt>
                  <c:pt idx="2">
                    <c:v>0.40107148157570821</c:v>
                  </c:pt>
                  <c:pt idx="3">
                    <c:v>1.1108280194921665</c:v>
                  </c:pt>
                  <c:pt idx="4">
                    <c:v>1.0380948763105537</c:v>
                  </c:pt>
                </c:numCache>
              </c:numRef>
            </c:plus>
            <c:minus>
              <c:numRef>
                <c:f>'High Combined'!$AF$11:$AF$15</c:f>
                <c:numCache>
                  <c:formatCode>General</c:formatCode>
                  <c:ptCount val="5"/>
                  <c:pt idx="0">
                    <c:v>0.83585225967272458</c:v>
                  </c:pt>
                  <c:pt idx="1">
                    <c:v>0.31128764832546746</c:v>
                  </c:pt>
                  <c:pt idx="2">
                    <c:v>0.40107148157570821</c:v>
                  </c:pt>
                  <c:pt idx="3">
                    <c:v>1.1108280194921665</c:v>
                  </c:pt>
                  <c:pt idx="4">
                    <c:v>1.0380948763105537</c:v>
                  </c:pt>
                </c:numCache>
              </c:numRef>
            </c:minus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Combined'!$AF$11:$AF$15</c:f>
                <c:numCache>
                  <c:formatCode>General</c:formatCode>
                  <c:ptCount val="5"/>
                  <c:pt idx="0">
                    <c:v>0.83585225967272458</c:v>
                  </c:pt>
                  <c:pt idx="1">
                    <c:v>0.31128764832546746</c:v>
                  </c:pt>
                  <c:pt idx="2">
                    <c:v>0.40107148157570821</c:v>
                  </c:pt>
                  <c:pt idx="3">
                    <c:v>1.1108280194921665</c:v>
                  </c:pt>
                  <c:pt idx="4">
                    <c:v>1.0380948763105537</c:v>
                  </c:pt>
                </c:numCache>
              </c:numRef>
            </c:plus>
            <c:minus>
              <c:numRef>
                <c:f>'High Combined'!$AF$11:$AF$15</c:f>
                <c:numCache>
                  <c:formatCode>General</c:formatCode>
                  <c:ptCount val="5"/>
                  <c:pt idx="0">
                    <c:v>0.83585225967272458</c:v>
                  </c:pt>
                  <c:pt idx="1">
                    <c:v>0.31128764832546746</c:v>
                  </c:pt>
                  <c:pt idx="2">
                    <c:v>0.40107148157570821</c:v>
                  </c:pt>
                  <c:pt idx="3">
                    <c:v>1.1108280194921665</c:v>
                  </c:pt>
                  <c:pt idx="4">
                    <c:v>1.0380948763105537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Combined'!$AF$17:$AF$21</c:f>
              <c:numCache>
                <c:formatCode>General</c:formatCode>
                <c:ptCount val="5"/>
                <c:pt idx="0">
                  <c:v>0</c:v>
                </c:pt>
                <c:pt idx="1">
                  <c:v>0.71100000000000207</c:v>
                </c:pt>
                <c:pt idx="2">
                  <c:v>3.4160000000000004</c:v>
                </c:pt>
                <c:pt idx="3">
                  <c:v>5.2943333333333378</c:v>
                </c:pt>
                <c:pt idx="4">
                  <c:v>4.5818333333333321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6B-4D7A-9376-63685395C466}"/>
            </c:ext>
          </c:extLst>
        </c:ser>
        <c:ser>
          <c:idx val="6"/>
          <c:order val="6"/>
          <c:tx>
            <c:v>522 kPa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Combined'!$AH$11:$AH$15</c:f>
                <c:numCache>
                  <c:formatCode>General</c:formatCode>
                  <c:ptCount val="5"/>
                  <c:pt idx="0">
                    <c:v>0.71787910766586649</c:v>
                  </c:pt>
                  <c:pt idx="1">
                    <c:v>0.45301459382918591</c:v>
                  </c:pt>
                  <c:pt idx="2">
                    <c:v>0.5221428311244678</c:v>
                  </c:pt>
                  <c:pt idx="3">
                    <c:v>0.97619869334520681</c:v>
                  </c:pt>
                  <c:pt idx="4">
                    <c:v>1.2395513717897237</c:v>
                  </c:pt>
                </c:numCache>
              </c:numRef>
            </c:plus>
            <c:minus>
              <c:numRef>
                <c:f>'High Combined'!$AH$11:$AH$15</c:f>
                <c:numCache>
                  <c:formatCode>General</c:formatCode>
                  <c:ptCount val="5"/>
                  <c:pt idx="0">
                    <c:v>0.71787910766586649</c:v>
                  </c:pt>
                  <c:pt idx="1">
                    <c:v>0.45301459382918591</c:v>
                  </c:pt>
                  <c:pt idx="2">
                    <c:v>0.5221428311244678</c:v>
                  </c:pt>
                  <c:pt idx="3">
                    <c:v>0.97619869334520681</c:v>
                  </c:pt>
                  <c:pt idx="4">
                    <c:v>1.2395513717897237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Combined'!$AH$17:$AH$21</c:f>
              <c:numCache>
                <c:formatCode>General</c:formatCode>
                <c:ptCount val="5"/>
                <c:pt idx="0">
                  <c:v>0</c:v>
                </c:pt>
                <c:pt idx="1">
                  <c:v>-0.53969696969696201</c:v>
                </c:pt>
                <c:pt idx="2">
                  <c:v>-3.9786713286713251</c:v>
                </c:pt>
                <c:pt idx="3">
                  <c:v>-3.5980303030302991</c:v>
                </c:pt>
                <c:pt idx="4">
                  <c:v>-4.6781818181818124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6B-4D7A-9376-63685395C466}"/>
            </c:ext>
          </c:extLst>
        </c:ser>
        <c:ser>
          <c:idx val="7"/>
          <c:order val="7"/>
          <c:tx>
            <c:v>586 kPa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'High Combined'!$AI$11:$AI$15</c:f>
                <c:numCache>
                  <c:formatCode>General</c:formatCode>
                  <c:ptCount val="5"/>
                  <c:pt idx="0">
                    <c:v>0.72647456201590355</c:v>
                  </c:pt>
                  <c:pt idx="1">
                    <c:v>0.4495139707699366</c:v>
                  </c:pt>
                  <c:pt idx="2">
                    <c:v>0.95908231601301519</c:v>
                  </c:pt>
                  <c:pt idx="3">
                    <c:v>0.94587701808075053</c:v>
                  </c:pt>
                  <c:pt idx="4">
                    <c:v>1.0043156874210415</c:v>
                  </c:pt>
                </c:numCache>
              </c:numRef>
            </c:plus>
            <c:minus>
              <c:numRef>
                <c:f>'High Combined'!$AI$11:$AI$15</c:f>
                <c:numCache>
                  <c:formatCode>General</c:formatCode>
                  <c:ptCount val="5"/>
                  <c:pt idx="0">
                    <c:v>0.72647456201590355</c:v>
                  </c:pt>
                  <c:pt idx="1">
                    <c:v>0.4495139707699366</c:v>
                  </c:pt>
                  <c:pt idx="2">
                    <c:v>0.95908231601301519</c:v>
                  </c:pt>
                  <c:pt idx="3">
                    <c:v>0.94587701808075053</c:v>
                  </c:pt>
                  <c:pt idx="4">
                    <c:v>1.0043156874210415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'High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'High Combined'!$AI$17:$AI$21</c:f>
              <c:numCache>
                <c:formatCode>General</c:formatCode>
                <c:ptCount val="5"/>
                <c:pt idx="0">
                  <c:v>0</c:v>
                </c:pt>
                <c:pt idx="1">
                  <c:v>-0.27818181818181387</c:v>
                </c:pt>
                <c:pt idx="2">
                  <c:v>-3.433939393939383</c:v>
                </c:pt>
                <c:pt idx="3">
                  <c:v>-3.3872727272727303</c:v>
                </c:pt>
                <c:pt idx="4">
                  <c:v>-3.537272727272736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A6B-4D7A-9376-63685395C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120 kPa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'High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'High Combined'!$AC$17:$AC$21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4.7383333333333315</c:v>
                      </c:pt>
                      <c:pt idx="2">
                        <c:v>9.0516666666666676</c:v>
                      </c:pt>
                      <c:pt idx="3">
                        <c:v>10.626136363636361</c:v>
                      </c:pt>
                      <c:pt idx="4">
                        <c:v>10.135227272727279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A6B-4D7A-9376-63685395C46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256 kPa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Combined'!$AE$17:$AE$21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2.6681818181818144</c:v>
                      </c:pt>
                      <c:pt idx="2">
                        <c:v>4.6409090909090907</c:v>
                      </c:pt>
                      <c:pt idx="3">
                        <c:v>6.0010606060606086</c:v>
                      </c:pt>
                      <c:pt idx="4">
                        <c:v>5.8577272727272707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A6B-4D7A-9376-63685395C46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427 kPa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Combined'!$AG$17:$AG$21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0.6666666666666643</c:v>
                      </c:pt>
                      <c:pt idx="2">
                        <c:v>0.62416666666666387</c:v>
                      </c:pt>
                      <c:pt idx="3">
                        <c:v>1.4158333333333317</c:v>
                      </c:pt>
                      <c:pt idx="4">
                        <c:v>0.22583333333333044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A6B-4D7A-9376-63685395C46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638 kPa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Combined'!$AJ$17:$AJ$21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0.47628787878787904</c:v>
                      </c:pt>
                      <c:pt idx="2">
                        <c:v>-2.975378787878789</c:v>
                      </c:pt>
                      <c:pt idx="3">
                        <c:v>-3.749545454545455</c:v>
                      </c:pt>
                      <c:pt idx="4">
                        <c:v>-2.9195454545454496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A6B-4D7A-9376-63685395C466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705 kPa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Combined'!$AK$17:$AK$21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-2.1089743589740806E-2</c:v>
                      </c:pt>
                      <c:pt idx="2">
                        <c:v>-3.5133333333333283</c:v>
                      </c:pt>
                      <c:pt idx="3">
                        <c:v>-3.1633333333333269</c:v>
                      </c:pt>
                      <c:pt idx="4">
                        <c:v>-2.8774999999999906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A6B-4D7A-9376-63685395C466}"/>
                  </c:ext>
                </c:extLst>
              </c15:ser>
            </c15:filteredScatterSeries>
          </c:ext>
        </c:extLst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12918172053919"/>
          <c:y val="0.15340751043115441"/>
          <c:w val="0.81475960059061203"/>
          <c:h val="0.6282783070521244"/>
        </c:manualLayout>
      </c:layout>
      <c:scatterChart>
        <c:scatterStyle val="lineMarker"/>
        <c:varyColors val="0"/>
        <c:ser>
          <c:idx val="1"/>
          <c:order val="0"/>
          <c:tx>
            <c:v>0 mmHg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'Med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 2'!$P$4:$Y$4</c:f>
              <c:numCache>
                <c:formatCode>General</c:formatCode>
                <c:ptCount val="10"/>
                <c:pt idx="0">
                  <c:v>3.2650000000000006</c:v>
                </c:pt>
                <c:pt idx="1">
                  <c:v>13.116666666666667</c:v>
                </c:pt>
                <c:pt idx="2">
                  <c:v>20.805</c:v>
                </c:pt>
                <c:pt idx="3">
                  <c:v>20.715</c:v>
                </c:pt>
                <c:pt idx="4">
                  <c:v>21.681666666666661</c:v>
                </c:pt>
                <c:pt idx="5">
                  <c:v>25.751666666666665</c:v>
                </c:pt>
                <c:pt idx="6">
                  <c:v>34.428333333333327</c:v>
                </c:pt>
                <c:pt idx="7">
                  <c:v>38.591666666666669</c:v>
                </c:pt>
                <c:pt idx="8">
                  <c:v>41.831666666666671</c:v>
                </c:pt>
                <c:pt idx="9">
                  <c:v>44.008333333333333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2-4587-8908-01DB11C44BD2}"/>
            </c:ext>
          </c:extLst>
        </c:ser>
        <c:ser>
          <c:idx val="0"/>
          <c:order val="1"/>
          <c:tx>
            <c:v>20 mmHg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'Med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 2'!$P$5:$Y$5</c:f>
              <c:numCache>
                <c:formatCode>General</c:formatCode>
                <c:ptCount val="10"/>
                <c:pt idx="0">
                  <c:v>3.7366666666666664</c:v>
                </c:pt>
                <c:pt idx="1">
                  <c:v>13.989999999999998</c:v>
                </c:pt>
                <c:pt idx="2">
                  <c:v>20.028333333333332</c:v>
                </c:pt>
                <c:pt idx="3">
                  <c:v>20.818333333333332</c:v>
                </c:pt>
                <c:pt idx="4">
                  <c:v>21.58</c:v>
                </c:pt>
                <c:pt idx="5">
                  <c:v>25.753333333333334</c:v>
                </c:pt>
                <c:pt idx="6">
                  <c:v>34.62833333333333</c:v>
                </c:pt>
                <c:pt idx="7">
                  <c:v>39.353333333333339</c:v>
                </c:pt>
                <c:pt idx="8">
                  <c:v>42.926666666666669</c:v>
                </c:pt>
                <c:pt idx="9">
                  <c:v>44.626666666666672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D2-4587-8908-01DB11C44BD2}"/>
            </c:ext>
          </c:extLst>
        </c:ser>
        <c:ser>
          <c:idx val="2"/>
          <c:order val="2"/>
          <c:tx>
            <c:v>40 mmHg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'Med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 2'!$P$6:$Y$6</c:f>
              <c:numCache>
                <c:formatCode>General</c:formatCode>
                <c:ptCount val="10"/>
                <c:pt idx="0">
                  <c:v>14.216666666666667</c:v>
                </c:pt>
                <c:pt idx="1">
                  <c:v>25.001666666666665</c:v>
                </c:pt>
                <c:pt idx="2">
                  <c:v>27.765000000000001</c:v>
                </c:pt>
                <c:pt idx="3">
                  <c:v>27.734999999999999</c:v>
                </c:pt>
                <c:pt idx="4">
                  <c:v>27.024999999999995</c:v>
                </c:pt>
                <c:pt idx="5">
                  <c:v>28.421428571428571</c:v>
                </c:pt>
                <c:pt idx="6">
                  <c:v>33.331428571428575</c:v>
                </c:pt>
                <c:pt idx="7">
                  <c:v>38.200000000000003</c:v>
                </c:pt>
                <c:pt idx="8">
                  <c:v>41.255000000000003</c:v>
                </c:pt>
                <c:pt idx="9">
                  <c:v>42.701666666666668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D2-4587-8908-01DB11C44BD2}"/>
            </c:ext>
          </c:extLst>
        </c:ser>
        <c:ser>
          <c:idx val="3"/>
          <c:order val="3"/>
          <c:tx>
            <c:v>60 mmHg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'Med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 2'!$P$7:$Y$7</c:f>
              <c:numCache>
                <c:formatCode>General</c:formatCode>
                <c:ptCount val="10"/>
                <c:pt idx="0">
                  <c:v>17.873333333333331</c:v>
                </c:pt>
                <c:pt idx="1">
                  <c:v>25.866666666666664</c:v>
                </c:pt>
                <c:pt idx="2">
                  <c:v>28.888333333333332</c:v>
                </c:pt>
                <c:pt idx="3">
                  <c:v>28.298333333333332</c:v>
                </c:pt>
                <c:pt idx="4">
                  <c:v>28.22</c:v>
                </c:pt>
                <c:pt idx="5">
                  <c:v>28.46833333333333</c:v>
                </c:pt>
                <c:pt idx="6">
                  <c:v>32.688333333333333</c:v>
                </c:pt>
                <c:pt idx="7">
                  <c:v>38.126666666666665</c:v>
                </c:pt>
                <c:pt idx="8">
                  <c:v>41.265000000000001</c:v>
                </c:pt>
                <c:pt idx="9">
                  <c:v>43.076666666666661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D2-4587-8908-01DB11C44BD2}"/>
            </c:ext>
          </c:extLst>
        </c:ser>
        <c:ser>
          <c:idx val="4"/>
          <c:order val="4"/>
          <c:tx>
            <c:v>80 mmHg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'Med 2'!$P$3:$Y$3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 2'!$P$8:$Y$8</c:f>
              <c:numCache>
                <c:formatCode>General</c:formatCode>
                <c:ptCount val="10"/>
                <c:pt idx="0">
                  <c:v>16.728333333333335</c:v>
                </c:pt>
                <c:pt idx="1">
                  <c:v>24.74</c:v>
                </c:pt>
                <c:pt idx="2">
                  <c:v>28.301666666666666</c:v>
                </c:pt>
                <c:pt idx="3">
                  <c:v>28.44</c:v>
                </c:pt>
                <c:pt idx="4">
                  <c:v>27.635000000000002</c:v>
                </c:pt>
                <c:pt idx="5">
                  <c:v>27.090000000000003</c:v>
                </c:pt>
                <c:pt idx="6">
                  <c:v>31.546666666666667</c:v>
                </c:pt>
                <c:pt idx="7">
                  <c:v>37.75333333333333</c:v>
                </c:pt>
                <c:pt idx="8">
                  <c:v>41.37</c:v>
                </c:pt>
                <c:pt idx="9">
                  <c:v>42.831666666666671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D2-4587-8908-01DB11C44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904463"/>
        <c:axId val="1989902543"/>
      </c:scatterChart>
      <c:valAx>
        <c:axId val="198990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02543"/>
        <c:crosses val="autoZero"/>
        <c:crossBetween val="midCat"/>
      </c:valAx>
      <c:valAx>
        <c:axId val="1989902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0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2'!$P$12:$P$16</c:f>
              <c:numCache>
                <c:formatCode>General</c:formatCode>
                <c:ptCount val="5"/>
                <c:pt idx="0">
                  <c:v>0</c:v>
                </c:pt>
                <c:pt idx="1">
                  <c:v>0.47166666666666579</c:v>
                </c:pt>
                <c:pt idx="2">
                  <c:v>10.951666666666666</c:v>
                </c:pt>
                <c:pt idx="3">
                  <c:v>14.608333333333331</c:v>
                </c:pt>
                <c:pt idx="4">
                  <c:v>13.463333333333335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2-4758-909F-462CEE4FC725}"/>
            </c:ext>
          </c:extLst>
        </c:ser>
        <c:ser>
          <c:idx val="1"/>
          <c:order val="1"/>
          <c:tx>
            <c:v>120 kPa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2'!$Q$12:$Q$16</c:f>
              <c:numCache>
                <c:formatCode>General</c:formatCode>
                <c:ptCount val="5"/>
                <c:pt idx="0">
                  <c:v>0</c:v>
                </c:pt>
                <c:pt idx="1">
                  <c:v>0.8733333333333313</c:v>
                </c:pt>
                <c:pt idx="2">
                  <c:v>11.884999999999998</c:v>
                </c:pt>
                <c:pt idx="3">
                  <c:v>12.749999999999996</c:v>
                </c:pt>
                <c:pt idx="4">
                  <c:v>11.623333333333331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12-4758-909F-462CEE4FC725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2'!$R$12:$R$16</c:f>
              <c:numCache>
                <c:formatCode>General</c:formatCode>
                <c:ptCount val="5"/>
                <c:pt idx="0">
                  <c:v>0</c:v>
                </c:pt>
                <c:pt idx="1">
                  <c:v>-0.77666666666666728</c:v>
                </c:pt>
                <c:pt idx="2">
                  <c:v>6.9600000000000009</c:v>
                </c:pt>
                <c:pt idx="3">
                  <c:v>8.0833333333333321</c:v>
                </c:pt>
                <c:pt idx="4">
                  <c:v>7.4966666666666661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12-4758-909F-462CEE4FC725}"/>
            </c:ext>
          </c:extLst>
        </c:ser>
        <c:ser>
          <c:idx val="3"/>
          <c:order val="3"/>
          <c:tx>
            <c:v>256 kPa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2'!$S$12:$S$16</c:f>
              <c:numCache>
                <c:formatCode>General</c:formatCode>
                <c:ptCount val="5"/>
                <c:pt idx="0">
                  <c:v>0</c:v>
                </c:pt>
                <c:pt idx="1">
                  <c:v>0.10333333333333172</c:v>
                </c:pt>
                <c:pt idx="2">
                  <c:v>7.02</c:v>
                </c:pt>
                <c:pt idx="3">
                  <c:v>7.5833333333333321</c:v>
                </c:pt>
                <c:pt idx="4">
                  <c:v>7.7250000000000014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12-4758-909F-462CEE4FC725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2'!$T$12:$T$16</c:f>
              <c:numCache>
                <c:formatCode>General</c:formatCode>
                <c:ptCount val="5"/>
                <c:pt idx="0">
                  <c:v>0</c:v>
                </c:pt>
                <c:pt idx="1">
                  <c:v>-0.10166666666666302</c:v>
                </c:pt>
                <c:pt idx="2">
                  <c:v>5.3433333333333337</c:v>
                </c:pt>
                <c:pt idx="3">
                  <c:v>6.5383333333333375</c:v>
                </c:pt>
                <c:pt idx="4">
                  <c:v>5.9533333333333402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12-4758-909F-462CEE4FC725}"/>
            </c:ext>
          </c:extLst>
        </c:ser>
        <c:ser>
          <c:idx val="5"/>
          <c:order val="5"/>
          <c:tx>
            <c:v>427 kPa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2'!$U$12:$U$16</c:f>
              <c:numCache>
                <c:formatCode>General</c:formatCode>
                <c:ptCount val="5"/>
                <c:pt idx="0">
                  <c:v>0</c:v>
                </c:pt>
                <c:pt idx="1">
                  <c:v>1.6666666666687036E-3</c:v>
                </c:pt>
                <c:pt idx="2">
                  <c:v>2.6697619047619057</c:v>
                </c:pt>
                <c:pt idx="3">
                  <c:v>2.716666666666665</c:v>
                </c:pt>
                <c:pt idx="4">
                  <c:v>1.3383333333333383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12-4758-909F-462CEE4FC725}"/>
            </c:ext>
          </c:extLst>
        </c:ser>
        <c:ser>
          <c:idx val="6"/>
          <c:order val="6"/>
          <c:tx>
            <c:v>522 kPa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2'!$V$12:$V$16</c:f>
              <c:numCache>
                <c:formatCode>General</c:formatCode>
                <c:ptCount val="5"/>
                <c:pt idx="0">
                  <c:v>0</c:v>
                </c:pt>
                <c:pt idx="1">
                  <c:v>0.20000000000000284</c:v>
                </c:pt>
                <c:pt idx="2">
                  <c:v>-1.0969047619047529</c:v>
                </c:pt>
                <c:pt idx="3">
                  <c:v>-1.7399999999999949</c:v>
                </c:pt>
                <c:pt idx="4">
                  <c:v>-2.8816666666666606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12-4758-909F-462CEE4FC725}"/>
            </c:ext>
          </c:extLst>
        </c:ser>
        <c:ser>
          <c:idx val="7"/>
          <c:order val="7"/>
          <c:tx>
            <c:v>586 kPa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2'!$W$12:$W$16</c:f>
              <c:numCache>
                <c:formatCode>General</c:formatCode>
                <c:ptCount val="5"/>
                <c:pt idx="0">
                  <c:v>0</c:v>
                </c:pt>
                <c:pt idx="1">
                  <c:v>0.76166666666667027</c:v>
                </c:pt>
                <c:pt idx="2">
                  <c:v>-0.39166666666666572</c:v>
                </c:pt>
                <c:pt idx="3">
                  <c:v>-0.46500000000000341</c:v>
                </c:pt>
                <c:pt idx="4">
                  <c:v>-0.83833333333333826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12-4758-909F-462CEE4FC725}"/>
            </c:ext>
          </c:extLst>
        </c:ser>
        <c:ser>
          <c:idx val="8"/>
          <c:order val="8"/>
          <c:tx>
            <c:v>638 kPa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2'!$X$12:$X$16</c:f>
              <c:numCache>
                <c:formatCode>General</c:formatCode>
                <c:ptCount val="5"/>
                <c:pt idx="0">
                  <c:v>0</c:v>
                </c:pt>
                <c:pt idx="1">
                  <c:v>1.0949999999999989</c:v>
                </c:pt>
                <c:pt idx="2">
                  <c:v>-0.57666666666666799</c:v>
                </c:pt>
                <c:pt idx="3">
                  <c:v>-0.56666666666666998</c:v>
                </c:pt>
                <c:pt idx="4">
                  <c:v>-0.46166666666667311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12-4758-909F-462CEE4FC725}"/>
            </c:ext>
          </c:extLst>
        </c:ser>
        <c:ser>
          <c:idx val="9"/>
          <c:order val="9"/>
          <c:tx>
            <c:v>705 kPa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2'!$Y$12:$Y$16</c:f>
              <c:numCache>
                <c:formatCode>General</c:formatCode>
                <c:ptCount val="5"/>
                <c:pt idx="0">
                  <c:v>0</c:v>
                </c:pt>
                <c:pt idx="1">
                  <c:v>0.6183333333333394</c:v>
                </c:pt>
                <c:pt idx="2">
                  <c:v>-1.3066666666666649</c:v>
                </c:pt>
                <c:pt idx="3">
                  <c:v>-0.93166666666667197</c:v>
                </c:pt>
                <c:pt idx="4">
                  <c:v>-1.1766666666666623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12-4758-909F-462CEE4FC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2'!$P$12:$P$16</c:f>
              <c:numCache>
                <c:formatCode>General</c:formatCode>
                <c:ptCount val="5"/>
                <c:pt idx="0">
                  <c:v>0</c:v>
                </c:pt>
                <c:pt idx="1">
                  <c:v>0.47166666666666579</c:v>
                </c:pt>
                <c:pt idx="2">
                  <c:v>10.951666666666666</c:v>
                </c:pt>
                <c:pt idx="3">
                  <c:v>14.608333333333331</c:v>
                </c:pt>
                <c:pt idx="4">
                  <c:v>13.463333333333335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E7-4309-BE71-99C113744D4A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2'!$R$12:$R$16</c:f>
              <c:numCache>
                <c:formatCode>General</c:formatCode>
                <c:ptCount val="5"/>
                <c:pt idx="0">
                  <c:v>0</c:v>
                </c:pt>
                <c:pt idx="1">
                  <c:v>-0.77666666666666728</c:v>
                </c:pt>
                <c:pt idx="2">
                  <c:v>6.9600000000000009</c:v>
                </c:pt>
                <c:pt idx="3">
                  <c:v>8.0833333333333321</c:v>
                </c:pt>
                <c:pt idx="4">
                  <c:v>7.4966666666666661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E7-4309-BE71-99C113744D4A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2'!$T$12:$T$16</c:f>
              <c:numCache>
                <c:formatCode>General</c:formatCode>
                <c:ptCount val="5"/>
                <c:pt idx="0">
                  <c:v>0</c:v>
                </c:pt>
                <c:pt idx="1">
                  <c:v>-0.10166666666666302</c:v>
                </c:pt>
                <c:pt idx="2">
                  <c:v>5.3433333333333337</c:v>
                </c:pt>
                <c:pt idx="3">
                  <c:v>6.5383333333333375</c:v>
                </c:pt>
                <c:pt idx="4">
                  <c:v>5.9533333333333402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E7-4309-BE71-99C113744D4A}"/>
            </c:ext>
          </c:extLst>
        </c:ser>
        <c:ser>
          <c:idx val="5"/>
          <c:order val="5"/>
          <c:tx>
            <c:v>427 kPa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2'!$U$12:$U$16</c:f>
              <c:numCache>
                <c:formatCode>General</c:formatCode>
                <c:ptCount val="5"/>
                <c:pt idx="0">
                  <c:v>0</c:v>
                </c:pt>
                <c:pt idx="1">
                  <c:v>1.6666666666687036E-3</c:v>
                </c:pt>
                <c:pt idx="2">
                  <c:v>2.6697619047619057</c:v>
                </c:pt>
                <c:pt idx="3">
                  <c:v>2.716666666666665</c:v>
                </c:pt>
                <c:pt idx="4">
                  <c:v>1.3383333333333383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E7-4309-BE71-99C113744D4A}"/>
            </c:ext>
          </c:extLst>
        </c:ser>
        <c:ser>
          <c:idx val="8"/>
          <c:order val="8"/>
          <c:tx>
            <c:v>638 kPa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'High (2)'!$O$20:$O$24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 2'!$X$12:$X$16</c:f>
              <c:numCache>
                <c:formatCode>General</c:formatCode>
                <c:ptCount val="5"/>
                <c:pt idx="0">
                  <c:v>0</c:v>
                </c:pt>
                <c:pt idx="1">
                  <c:v>1.0949999999999989</c:v>
                </c:pt>
                <c:pt idx="2">
                  <c:v>-0.57666666666666799</c:v>
                </c:pt>
                <c:pt idx="3">
                  <c:v>-0.56666666666666998</c:v>
                </c:pt>
                <c:pt idx="4">
                  <c:v>-0.46166666666667311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AE7-4309-BE71-99C113744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120 kPa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'Med 2'!$Q$12:$Q$16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0.8733333333333313</c:v>
                      </c:pt>
                      <c:pt idx="2">
                        <c:v>11.884999999999998</c:v>
                      </c:pt>
                      <c:pt idx="3">
                        <c:v>12.749999999999996</c:v>
                      </c:pt>
                      <c:pt idx="4">
                        <c:v>11.623333333333331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AE7-4309-BE71-99C113744D4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256 kPa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 2'!$S$12:$S$16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0.10333333333333172</c:v>
                      </c:pt>
                      <c:pt idx="2">
                        <c:v>7.02</c:v>
                      </c:pt>
                      <c:pt idx="3">
                        <c:v>7.5833333333333321</c:v>
                      </c:pt>
                      <c:pt idx="4">
                        <c:v>7.7250000000000014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AE7-4309-BE71-99C113744D4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522 kPa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 2'!$V$12:$V$16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0.20000000000000284</c:v>
                      </c:pt>
                      <c:pt idx="2">
                        <c:v>-1.0969047619047529</c:v>
                      </c:pt>
                      <c:pt idx="3">
                        <c:v>-1.7399999999999949</c:v>
                      </c:pt>
                      <c:pt idx="4">
                        <c:v>-2.8816666666666606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AE7-4309-BE71-99C113744D4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586 kPa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 2'!$W$12:$W$16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0.76166666666667027</c:v>
                      </c:pt>
                      <c:pt idx="2">
                        <c:v>-0.39166666666666572</c:v>
                      </c:pt>
                      <c:pt idx="3">
                        <c:v>-0.46500000000000341</c:v>
                      </c:pt>
                      <c:pt idx="4">
                        <c:v>-0.83833333333333826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AE7-4309-BE71-99C113744D4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705 kPa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'High (2)'!$O$20:$O$24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 2'!$Y$12:$Y$16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0.6183333333333394</c:v>
                      </c:pt>
                      <c:pt idx="2">
                        <c:v>-1.3066666666666649</c:v>
                      </c:pt>
                      <c:pt idx="3">
                        <c:v>-0.93166666666667197</c:v>
                      </c:pt>
                      <c:pt idx="4">
                        <c:v>-1.1766666666666623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AE7-4309-BE71-99C113744D4A}"/>
                  </c:ext>
                </c:extLst>
              </c15:ser>
            </c15:filteredScatterSeries>
          </c:ext>
        </c:extLst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Combined'!$P$19:$P$23</c:f>
              <c:numCache>
                <c:formatCode>General</c:formatCode>
                <c:ptCount val="5"/>
                <c:pt idx="0">
                  <c:v>0</c:v>
                </c:pt>
                <c:pt idx="1">
                  <c:v>0.9434523809523796</c:v>
                </c:pt>
                <c:pt idx="2">
                  <c:v>11.605952380952383</c:v>
                </c:pt>
                <c:pt idx="3">
                  <c:v>18.285952380952377</c:v>
                </c:pt>
                <c:pt idx="4">
                  <c:v>18.380649350649353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95-4B83-9FB6-BF0B94244A47}"/>
            </c:ext>
          </c:extLst>
        </c:ser>
        <c:ser>
          <c:idx val="1"/>
          <c:order val="1"/>
          <c:tx>
            <c:v>120 kPa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Combined'!$Q$19:$Q$23</c:f>
              <c:numCache>
                <c:formatCode>General</c:formatCode>
                <c:ptCount val="5"/>
                <c:pt idx="0">
                  <c:v>0</c:v>
                </c:pt>
                <c:pt idx="1">
                  <c:v>1.8337762237762245</c:v>
                </c:pt>
                <c:pt idx="2">
                  <c:v>14.06454545454546</c:v>
                </c:pt>
                <c:pt idx="3">
                  <c:v>16.334545454545452</c:v>
                </c:pt>
                <c:pt idx="4">
                  <c:v>16.045378787878789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95-4B83-9FB6-BF0B94244A47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Combined'!$R$19:$R$23</c:f>
              <c:numCache>
                <c:formatCode>General</c:formatCode>
                <c:ptCount val="5"/>
                <c:pt idx="0">
                  <c:v>0</c:v>
                </c:pt>
                <c:pt idx="1">
                  <c:v>1.4148484848484877</c:v>
                </c:pt>
                <c:pt idx="2">
                  <c:v>10.247435897435892</c:v>
                </c:pt>
                <c:pt idx="3">
                  <c:v>12.528333333333329</c:v>
                </c:pt>
                <c:pt idx="4">
                  <c:v>12.461666666666666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95-4B83-9FB6-BF0B94244A47}"/>
            </c:ext>
          </c:extLst>
        </c:ser>
        <c:ser>
          <c:idx val="3"/>
          <c:order val="3"/>
          <c:tx>
            <c:v>256 kPa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Combined'!$S$19:$S$23</c:f>
              <c:numCache>
                <c:formatCode>General</c:formatCode>
                <c:ptCount val="5"/>
                <c:pt idx="0">
                  <c:v>0</c:v>
                </c:pt>
                <c:pt idx="1">
                  <c:v>1.6190151515151534</c:v>
                </c:pt>
                <c:pt idx="2">
                  <c:v>9.6066666666666656</c:v>
                </c:pt>
                <c:pt idx="3">
                  <c:v>11.609924242424245</c:v>
                </c:pt>
                <c:pt idx="4">
                  <c:v>11.539015151515152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95-4B83-9FB6-BF0B94244A47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Combined'!$T$19:$T$23</c:f>
              <c:numCache>
                <c:formatCode>General</c:formatCode>
                <c:ptCount val="5"/>
                <c:pt idx="0">
                  <c:v>0</c:v>
                </c:pt>
                <c:pt idx="1">
                  <c:v>1.0196969696969695</c:v>
                </c:pt>
                <c:pt idx="2">
                  <c:v>8.0205303030303057</c:v>
                </c:pt>
                <c:pt idx="3">
                  <c:v>9.5263636363636337</c:v>
                </c:pt>
                <c:pt idx="4">
                  <c:v>9.1580303030302979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95-4B83-9FB6-BF0B94244A47}"/>
            </c:ext>
          </c:extLst>
        </c:ser>
        <c:ser>
          <c:idx val="5"/>
          <c:order val="5"/>
          <c:tx>
            <c:v>427 kPa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Combined'!$U$19:$U$23</c:f>
              <c:numCache>
                <c:formatCode>General</c:formatCode>
                <c:ptCount val="5"/>
                <c:pt idx="0">
                  <c:v>0</c:v>
                </c:pt>
                <c:pt idx="1">
                  <c:v>0.3958333333333357</c:v>
                </c:pt>
                <c:pt idx="2">
                  <c:v>4.9023484848484813</c:v>
                </c:pt>
                <c:pt idx="3">
                  <c:v>5.7841666666666676</c:v>
                </c:pt>
                <c:pt idx="4">
                  <c:v>5.3091666666666626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95-4B83-9FB6-BF0B94244A47}"/>
            </c:ext>
          </c:extLst>
        </c:ser>
        <c:ser>
          <c:idx val="6"/>
          <c:order val="6"/>
          <c:tx>
            <c:v>522 kPa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Combined'!$V$19:$V$23</c:f>
              <c:numCache>
                <c:formatCode>General</c:formatCode>
                <c:ptCount val="5"/>
                <c:pt idx="0">
                  <c:v>0</c:v>
                </c:pt>
                <c:pt idx="1">
                  <c:v>-8.0151515151513308E-2</c:v>
                </c:pt>
                <c:pt idx="2">
                  <c:v>1.1916666666666771</c:v>
                </c:pt>
                <c:pt idx="3">
                  <c:v>1.5189393939394051</c:v>
                </c:pt>
                <c:pt idx="4">
                  <c:v>1.3366666666666731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95-4B83-9FB6-BF0B94244A47}"/>
            </c:ext>
          </c:extLst>
        </c:ser>
        <c:ser>
          <c:idx val="7"/>
          <c:order val="7"/>
          <c:tx>
            <c:v>586 kPa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Combined'!$W$19:$W$23</c:f>
              <c:numCache>
                <c:formatCode>General</c:formatCode>
                <c:ptCount val="5"/>
                <c:pt idx="0">
                  <c:v>0</c:v>
                </c:pt>
                <c:pt idx="1">
                  <c:v>0.85575757575757905</c:v>
                </c:pt>
                <c:pt idx="2">
                  <c:v>1.7433333333333323</c:v>
                </c:pt>
                <c:pt idx="3">
                  <c:v>2.4641666666666637</c:v>
                </c:pt>
                <c:pt idx="4">
                  <c:v>2.643333333333338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95-4B83-9FB6-BF0B94244A47}"/>
            </c:ext>
          </c:extLst>
        </c:ser>
        <c:ser>
          <c:idx val="8"/>
          <c:order val="8"/>
          <c:tx>
            <c:v>638 kPa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Combined'!$X$19:$X$23</c:f>
              <c:numCache>
                <c:formatCode>General</c:formatCode>
                <c:ptCount val="5"/>
                <c:pt idx="0">
                  <c:v>0</c:v>
                </c:pt>
                <c:pt idx="1">
                  <c:v>0.66621212121211926</c:v>
                </c:pt>
                <c:pt idx="2">
                  <c:v>1.0616666666666674</c:v>
                </c:pt>
                <c:pt idx="3">
                  <c:v>1.7225757575757612</c:v>
                </c:pt>
                <c:pt idx="4">
                  <c:v>2.5891666666666708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E95-4B83-9FB6-BF0B94244A47}"/>
            </c:ext>
          </c:extLst>
        </c:ser>
        <c:ser>
          <c:idx val="9"/>
          <c:order val="9"/>
          <c:tx>
            <c:v>705 kPa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Combined'!$Y$19:$Y$23</c:f>
              <c:numCache>
                <c:formatCode>General</c:formatCode>
                <c:ptCount val="5"/>
                <c:pt idx="0">
                  <c:v>0</c:v>
                </c:pt>
                <c:pt idx="1">
                  <c:v>0.68931818181818016</c:v>
                </c:pt>
                <c:pt idx="2">
                  <c:v>1.0263636363636337</c:v>
                </c:pt>
                <c:pt idx="3">
                  <c:v>2.0643181818181873</c:v>
                </c:pt>
                <c:pt idx="4">
                  <c:v>2.6326515151515153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E95-4B83-9FB6-BF0B94244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'Medium Combined'!$AA$4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'Medium Combined'!$AB$11:$AK$11</c:f>
                <c:numCache>
                  <c:formatCode>General</c:formatCode>
                  <c:ptCount val="10"/>
                  <c:pt idx="0">
                    <c:v>0.6104999623928169</c:v>
                  </c:pt>
                  <c:pt idx="1">
                    <c:v>1.0052893173461301</c:v>
                  </c:pt>
                  <c:pt idx="2">
                    <c:v>1.2507819776266194</c:v>
                  </c:pt>
                  <c:pt idx="3">
                    <c:v>0.54193262701393274</c:v>
                  </c:pt>
                  <c:pt idx="4">
                    <c:v>0.28052783777834778</c:v>
                  </c:pt>
                  <c:pt idx="5">
                    <c:v>0.72986823392232192</c:v>
                  </c:pt>
                  <c:pt idx="6">
                    <c:v>0.69532766057129869</c:v>
                  </c:pt>
                  <c:pt idx="7">
                    <c:v>1.2057938832523947</c:v>
                  </c:pt>
                  <c:pt idx="8">
                    <c:v>0.90390664463882664</c:v>
                  </c:pt>
                  <c:pt idx="9">
                    <c:v>0.79511940992096286</c:v>
                  </c:pt>
                </c:numCache>
              </c:numRef>
            </c:plus>
            <c:minus>
              <c:numRef>
                <c:f>'Medium Combined'!$AB$11:$AK$11</c:f>
                <c:numCache>
                  <c:formatCode>General</c:formatCode>
                  <c:ptCount val="10"/>
                  <c:pt idx="0">
                    <c:v>0.6104999623928169</c:v>
                  </c:pt>
                  <c:pt idx="1">
                    <c:v>1.0052893173461301</c:v>
                  </c:pt>
                  <c:pt idx="2">
                    <c:v>1.2507819776266194</c:v>
                  </c:pt>
                  <c:pt idx="3">
                    <c:v>0.54193262701393274</c:v>
                  </c:pt>
                  <c:pt idx="4">
                    <c:v>0.28052783777834778</c:v>
                  </c:pt>
                  <c:pt idx="5">
                    <c:v>0.72986823392232192</c:v>
                  </c:pt>
                  <c:pt idx="6">
                    <c:v>0.69532766057129869</c:v>
                  </c:pt>
                  <c:pt idx="7">
                    <c:v>1.2057938832523947</c:v>
                  </c:pt>
                  <c:pt idx="8">
                    <c:v>0.90390664463882664</c:v>
                  </c:pt>
                  <c:pt idx="9">
                    <c:v>0.79511940992096286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'Medium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'Medium Combined'!$AB$4:$AK$4</c:f>
              <c:numCache>
                <c:formatCode>General</c:formatCode>
                <c:ptCount val="10"/>
                <c:pt idx="0">
                  <c:v>5.9857142857142858</c:v>
                </c:pt>
                <c:pt idx="1">
                  <c:v>15.395454545454545</c:v>
                </c:pt>
                <c:pt idx="2">
                  <c:v>22.733333333333334</c:v>
                </c:pt>
                <c:pt idx="3">
                  <c:v>23.229166666666664</c:v>
                </c:pt>
                <c:pt idx="4">
                  <c:v>24.803636363636365</c:v>
                </c:pt>
                <c:pt idx="5">
                  <c:v>28.865833333333335</c:v>
                </c:pt>
                <c:pt idx="6">
                  <c:v>37.598333333333329</c:v>
                </c:pt>
                <c:pt idx="7">
                  <c:v>41.933333333333337</c:v>
                </c:pt>
                <c:pt idx="8">
                  <c:v>45.618333333333332</c:v>
                </c:pt>
                <c:pt idx="9">
                  <c:v>47.42818181818182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1-474C-AEF3-699DB702C5BA}"/>
            </c:ext>
          </c:extLst>
        </c:ser>
        <c:ser>
          <c:idx val="1"/>
          <c:order val="1"/>
          <c:tx>
            <c:strRef>
              <c:f>'Medium Combined'!$AA$5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'Medium Combined'!$AB$12:$AK$12</c:f>
                <c:numCache>
                  <c:formatCode>General</c:formatCode>
                  <c:ptCount val="10"/>
                  <c:pt idx="0">
                    <c:v>0.78173373912662525</c:v>
                  </c:pt>
                  <c:pt idx="1">
                    <c:v>0.63684875077285552</c:v>
                  </c:pt>
                  <c:pt idx="2">
                    <c:v>1.3571482010706948</c:v>
                  </c:pt>
                  <c:pt idx="3">
                    <c:v>1.1574644560167491</c:v>
                  </c:pt>
                  <c:pt idx="4">
                    <c:v>1.2993288866009085</c:v>
                  </c:pt>
                  <c:pt idx="5">
                    <c:v>0.76507987963494539</c:v>
                  </c:pt>
                  <c:pt idx="6">
                    <c:v>0.63291272099452545</c:v>
                  </c:pt>
                  <c:pt idx="7">
                    <c:v>0.74910194166632948</c:v>
                  </c:pt>
                  <c:pt idx="8">
                    <c:v>0.62291636147112861</c:v>
                  </c:pt>
                  <c:pt idx="9">
                    <c:v>0.59079219414838868</c:v>
                  </c:pt>
                </c:numCache>
              </c:numRef>
            </c:plus>
            <c:minus>
              <c:numRef>
                <c:f>'Medium Combined'!$AB$12:$AK$12</c:f>
                <c:numCache>
                  <c:formatCode>General</c:formatCode>
                  <c:ptCount val="10"/>
                  <c:pt idx="0">
                    <c:v>0.78173373912662525</c:v>
                  </c:pt>
                  <c:pt idx="1">
                    <c:v>0.63684875077285552</c:v>
                  </c:pt>
                  <c:pt idx="2">
                    <c:v>1.3571482010706948</c:v>
                  </c:pt>
                  <c:pt idx="3">
                    <c:v>1.1574644560167491</c:v>
                  </c:pt>
                  <c:pt idx="4">
                    <c:v>1.2993288866009085</c:v>
                  </c:pt>
                  <c:pt idx="5">
                    <c:v>0.76507987963494539</c:v>
                  </c:pt>
                  <c:pt idx="6">
                    <c:v>0.63291272099452545</c:v>
                  </c:pt>
                  <c:pt idx="7">
                    <c:v>0.74910194166632948</c:v>
                  </c:pt>
                  <c:pt idx="8">
                    <c:v>0.62291636147112861</c:v>
                  </c:pt>
                  <c:pt idx="9">
                    <c:v>0.59079219414838868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'Medium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'Medium Combined'!$AB$5:$AK$5</c:f>
              <c:numCache>
                <c:formatCode>General</c:formatCode>
                <c:ptCount val="10"/>
                <c:pt idx="0">
                  <c:v>6.9291666666666654</c:v>
                </c:pt>
                <c:pt idx="1">
                  <c:v>17.229230769230767</c:v>
                </c:pt>
                <c:pt idx="2">
                  <c:v>24.148181818181822</c:v>
                </c:pt>
                <c:pt idx="3">
                  <c:v>24.848181818181818</c:v>
                </c:pt>
                <c:pt idx="4">
                  <c:v>25.823333333333334</c:v>
                </c:pt>
                <c:pt idx="5">
                  <c:v>29.26166666666667</c:v>
                </c:pt>
                <c:pt idx="6">
                  <c:v>37.518181818181816</c:v>
                </c:pt>
                <c:pt idx="7">
                  <c:v>42.789090909090916</c:v>
                </c:pt>
                <c:pt idx="8">
                  <c:v>46.284545454545452</c:v>
                </c:pt>
                <c:pt idx="9">
                  <c:v>48.1175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31-474C-AEF3-699DB702C5BA}"/>
            </c:ext>
          </c:extLst>
        </c:ser>
        <c:ser>
          <c:idx val="2"/>
          <c:order val="2"/>
          <c:tx>
            <c:strRef>
              <c:f>'Medium Combined'!$AA$6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'Medium Combined'!$AB$13:$AK$13</c:f>
                <c:numCache>
                  <c:formatCode>General</c:formatCode>
                  <c:ptCount val="10"/>
                  <c:pt idx="0">
                    <c:v>1.2914903105413613</c:v>
                  </c:pt>
                  <c:pt idx="1">
                    <c:v>0.53563046963368244</c:v>
                  </c:pt>
                  <c:pt idx="2">
                    <c:v>0.44196173761400742</c:v>
                  </c:pt>
                  <c:pt idx="3">
                    <c:v>0.89486924867391771</c:v>
                  </c:pt>
                  <c:pt idx="4">
                    <c:v>0.58315890249189883</c:v>
                  </c:pt>
                  <c:pt idx="5">
                    <c:v>0.55041832325833129</c:v>
                  </c:pt>
                  <c:pt idx="6">
                    <c:v>0.64192891138562014</c:v>
                  </c:pt>
                  <c:pt idx="7">
                    <c:v>0.74408034213756413</c:v>
                  </c:pt>
                  <c:pt idx="8">
                    <c:v>1.3004404848148399</c:v>
                  </c:pt>
                  <c:pt idx="9">
                    <c:v>1.5969537116099495</c:v>
                  </c:pt>
                </c:numCache>
              </c:numRef>
            </c:plus>
            <c:minus>
              <c:numRef>
                <c:f>'Medium Combined'!$AB$13:$AK$13</c:f>
                <c:numCache>
                  <c:formatCode>General</c:formatCode>
                  <c:ptCount val="10"/>
                  <c:pt idx="0">
                    <c:v>1.2914903105413613</c:v>
                  </c:pt>
                  <c:pt idx="1">
                    <c:v>0.53563046963368244</c:v>
                  </c:pt>
                  <c:pt idx="2">
                    <c:v>0.44196173761400742</c:v>
                  </c:pt>
                  <c:pt idx="3">
                    <c:v>0.89486924867391771</c:v>
                  </c:pt>
                  <c:pt idx="4">
                    <c:v>0.58315890249189883</c:v>
                  </c:pt>
                  <c:pt idx="5">
                    <c:v>0.55041832325833129</c:v>
                  </c:pt>
                  <c:pt idx="6">
                    <c:v>0.64192891138562014</c:v>
                  </c:pt>
                  <c:pt idx="7">
                    <c:v>0.74408034213756413</c:v>
                  </c:pt>
                  <c:pt idx="8">
                    <c:v>1.3004404848148399</c:v>
                  </c:pt>
                  <c:pt idx="9">
                    <c:v>1.5969537116099495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'Medium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'Medium Combined'!$AB$6:$AK$6</c:f>
              <c:numCache>
                <c:formatCode>General</c:formatCode>
                <c:ptCount val="10"/>
                <c:pt idx="0">
                  <c:v>17.591666666666669</c:v>
                </c:pt>
                <c:pt idx="1">
                  <c:v>29.460000000000004</c:v>
                </c:pt>
                <c:pt idx="2">
                  <c:v>32.980769230769226</c:v>
                </c:pt>
                <c:pt idx="3">
                  <c:v>32.835833333333326</c:v>
                </c:pt>
                <c:pt idx="4">
                  <c:v>32.82416666666667</c:v>
                </c:pt>
                <c:pt idx="5">
                  <c:v>33.768181818181816</c:v>
                </c:pt>
                <c:pt idx="6">
                  <c:v>38.790000000000006</c:v>
                </c:pt>
                <c:pt idx="7">
                  <c:v>43.676666666666669</c:v>
                </c:pt>
                <c:pt idx="8">
                  <c:v>46.68</c:v>
                </c:pt>
                <c:pt idx="9">
                  <c:v>48.454545454545453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1-474C-AEF3-699DB702C5BA}"/>
            </c:ext>
          </c:extLst>
        </c:ser>
        <c:ser>
          <c:idx val="3"/>
          <c:order val="3"/>
          <c:tx>
            <c:strRef>
              <c:f>'Medium Combined'!$AA$7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'Medium Combined'!$AB$14:$AK$14</c:f>
                <c:numCache>
                  <c:formatCode>General</c:formatCode>
                  <c:ptCount val="10"/>
                  <c:pt idx="0">
                    <c:v>1.1653528316446577</c:v>
                  </c:pt>
                  <c:pt idx="1">
                    <c:v>0.76659815240628337</c:v>
                  </c:pt>
                  <c:pt idx="2">
                    <c:v>1.0200966729787047</c:v>
                  </c:pt>
                  <c:pt idx="3">
                    <c:v>0.86552616204831301</c:v>
                  </c:pt>
                  <c:pt idx="4">
                    <c:v>1.0822283408866085</c:v>
                  </c:pt>
                  <c:pt idx="5">
                    <c:v>0.86987982451078238</c:v>
                  </c:pt>
                  <c:pt idx="6">
                    <c:v>0.6636276462690216</c:v>
                  </c:pt>
                  <c:pt idx="7">
                    <c:v>1.1165656048795343</c:v>
                  </c:pt>
                  <c:pt idx="8">
                    <c:v>1.2791862082480017</c:v>
                  </c:pt>
                  <c:pt idx="9">
                    <c:v>1.0097287176926946</c:v>
                  </c:pt>
                </c:numCache>
              </c:numRef>
            </c:plus>
            <c:minus>
              <c:numRef>
                <c:f>'Medium Combined'!$AB$14:$AK$14</c:f>
                <c:numCache>
                  <c:formatCode>General</c:formatCode>
                  <c:ptCount val="10"/>
                  <c:pt idx="0">
                    <c:v>1.1653528316446577</c:v>
                  </c:pt>
                  <c:pt idx="1">
                    <c:v>0.76659815240628337</c:v>
                  </c:pt>
                  <c:pt idx="2">
                    <c:v>1.0200966729787047</c:v>
                  </c:pt>
                  <c:pt idx="3">
                    <c:v>0.86552616204831301</c:v>
                  </c:pt>
                  <c:pt idx="4">
                    <c:v>1.0822283408866085</c:v>
                  </c:pt>
                  <c:pt idx="5">
                    <c:v>0.86987982451078238</c:v>
                  </c:pt>
                  <c:pt idx="6">
                    <c:v>0.6636276462690216</c:v>
                  </c:pt>
                  <c:pt idx="7">
                    <c:v>1.1165656048795343</c:v>
                  </c:pt>
                  <c:pt idx="8">
                    <c:v>1.2791862082480017</c:v>
                  </c:pt>
                  <c:pt idx="9">
                    <c:v>1.0097287176926946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'Medium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'Medium Combined'!$AB$7:$AK$7</c:f>
              <c:numCache>
                <c:formatCode>General</c:formatCode>
                <c:ptCount val="10"/>
                <c:pt idx="0">
                  <c:v>24.271666666666665</c:v>
                </c:pt>
                <c:pt idx="1">
                  <c:v>31.729999999999997</c:v>
                </c:pt>
                <c:pt idx="2">
                  <c:v>35.261666666666663</c:v>
                </c:pt>
                <c:pt idx="3">
                  <c:v>34.839090909090913</c:v>
                </c:pt>
                <c:pt idx="4">
                  <c:v>34.33</c:v>
                </c:pt>
                <c:pt idx="5">
                  <c:v>34.650000000000006</c:v>
                </c:pt>
                <c:pt idx="6">
                  <c:v>39.117272727272734</c:v>
                </c:pt>
                <c:pt idx="7">
                  <c:v>44.397500000000001</c:v>
                </c:pt>
                <c:pt idx="8">
                  <c:v>47.340909090909093</c:v>
                </c:pt>
                <c:pt idx="9">
                  <c:v>49.492500000000007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1-474C-AEF3-699DB702C5BA}"/>
            </c:ext>
          </c:extLst>
        </c:ser>
        <c:ser>
          <c:idx val="4"/>
          <c:order val="4"/>
          <c:tx>
            <c:strRef>
              <c:f>'Medium Combined'!$AA$8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'Medium Combined'!$AB$15:$AK$15</c:f>
                <c:numCache>
                  <c:formatCode>General</c:formatCode>
                  <c:ptCount val="10"/>
                  <c:pt idx="0">
                    <c:v>0.38957489015762126</c:v>
                  </c:pt>
                  <c:pt idx="1">
                    <c:v>0.32770561823414396</c:v>
                  </c:pt>
                  <c:pt idx="2">
                    <c:v>0.45050897142380397</c:v>
                  </c:pt>
                  <c:pt idx="3">
                    <c:v>0.36408835545580576</c:v>
                  </c:pt>
                  <c:pt idx="4">
                    <c:v>0.37456270799723546</c:v>
                  </c:pt>
                  <c:pt idx="5">
                    <c:v>0.44381865666057851</c:v>
                  </c:pt>
                  <c:pt idx="6">
                    <c:v>0.35940923749953912</c:v>
                  </c:pt>
                  <c:pt idx="7">
                    <c:v>0.49743229578394704</c:v>
                  </c:pt>
                  <c:pt idx="8">
                    <c:v>0.4087200549683529</c:v>
                  </c:pt>
                  <c:pt idx="9">
                    <c:v>0.73325141587922538</c:v>
                  </c:pt>
                </c:numCache>
              </c:numRef>
            </c:plus>
            <c:minus>
              <c:numRef>
                <c:f>'Medium Combined'!$AB$15:$AK$15</c:f>
                <c:numCache>
                  <c:formatCode>General</c:formatCode>
                  <c:ptCount val="10"/>
                  <c:pt idx="0">
                    <c:v>0.38957489015762126</c:v>
                  </c:pt>
                  <c:pt idx="1">
                    <c:v>0.32770561823414396</c:v>
                  </c:pt>
                  <c:pt idx="2">
                    <c:v>0.45050897142380397</c:v>
                  </c:pt>
                  <c:pt idx="3">
                    <c:v>0.36408835545580576</c:v>
                  </c:pt>
                  <c:pt idx="4">
                    <c:v>0.37456270799723546</c:v>
                  </c:pt>
                  <c:pt idx="5">
                    <c:v>0.44381865666057851</c:v>
                  </c:pt>
                  <c:pt idx="6">
                    <c:v>0.35940923749953912</c:v>
                  </c:pt>
                  <c:pt idx="7">
                    <c:v>0.49743229578394704</c:v>
                  </c:pt>
                  <c:pt idx="8">
                    <c:v>0.4087200549683529</c:v>
                  </c:pt>
                  <c:pt idx="9">
                    <c:v>0.73325141587922538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'Medium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'Medium Combined'!$AB$8:$AK$8</c:f>
              <c:numCache>
                <c:formatCode>General</c:formatCode>
                <c:ptCount val="10"/>
                <c:pt idx="0">
                  <c:v>24.366363636363641</c:v>
                </c:pt>
                <c:pt idx="1">
                  <c:v>31.440833333333334</c:v>
                </c:pt>
                <c:pt idx="2">
                  <c:v>35.195</c:v>
                </c:pt>
                <c:pt idx="3">
                  <c:v>34.768181818181816</c:v>
                </c:pt>
                <c:pt idx="4">
                  <c:v>33.961666666666659</c:v>
                </c:pt>
                <c:pt idx="5">
                  <c:v>34.174999999999997</c:v>
                </c:pt>
                <c:pt idx="6">
                  <c:v>38.935000000000002</c:v>
                </c:pt>
                <c:pt idx="7">
                  <c:v>44.576666666666675</c:v>
                </c:pt>
                <c:pt idx="8">
                  <c:v>48.207500000000003</c:v>
                </c:pt>
                <c:pt idx="9">
                  <c:v>50.060833333333335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1-474C-AEF3-699DB702C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564767"/>
        <c:axId val="413981599"/>
      </c:scatterChart>
      <c:valAx>
        <c:axId val="1174564767"/>
        <c:scaling>
          <c:orientation val="minMax"/>
          <c:max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81599"/>
        <c:crosses val="autoZero"/>
        <c:crossBetween val="midCat"/>
      </c:valAx>
      <c:valAx>
        <c:axId val="413981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6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'Medium Combined'!$AB$11:$AB$15</c:f>
                <c:numCache>
                  <c:formatCode>General</c:formatCode>
                  <c:ptCount val="5"/>
                  <c:pt idx="0">
                    <c:v>0.6104999623928169</c:v>
                  </c:pt>
                  <c:pt idx="1">
                    <c:v>0.78173373912662525</c:v>
                  </c:pt>
                  <c:pt idx="2">
                    <c:v>1.2914903105413613</c:v>
                  </c:pt>
                  <c:pt idx="3">
                    <c:v>1.1653528316446577</c:v>
                  </c:pt>
                  <c:pt idx="4">
                    <c:v>0.38957489015762126</c:v>
                  </c:pt>
                </c:numCache>
              </c:numRef>
            </c:plus>
            <c:minus>
              <c:numRef>
                <c:f>'Medium Combined'!$AB$11:$AB$15</c:f>
                <c:numCache>
                  <c:formatCode>General</c:formatCode>
                  <c:ptCount val="5"/>
                  <c:pt idx="0">
                    <c:v>0.6104999623928169</c:v>
                  </c:pt>
                  <c:pt idx="1">
                    <c:v>0.78173373912662525</c:v>
                  </c:pt>
                  <c:pt idx="2">
                    <c:v>1.2914903105413613</c:v>
                  </c:pt>
                  <c:pt idx="3">
                    <c:v>1.1653528316446577</c:v>
                  </c:pt>
                  <c:pt idx="4">
                    <c:v>0.38957489015762126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Combined'!$P$19:$P$23</c:f>
              <c:numCache>
                <c:formatCode>General</c:formatCode>
                <c:ptCount val="5"/>
                <c:pt idx="0">
                  <c:v>0</c:v>
                </c:pt>
                <c:pt idx="1">
                  <c:v>0.9434523809523796</c:v>
                </c:pt>
                <c:pt idx="2">
                  <c:v>11.605952380952383</c:v>
                </c:pt>
                <c:pt idx="3">
                  <c:v>18.285952380952377</c:v>
                </c:pt>
                <c:pt idx="4">
                  <c:v>18.380649350649353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6-47BD-B000-62FC1322D826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'Medium Combined'!$AD$11:$AD$15</c:f>
                <c:numCache>
                  <c:formatCode>General</c:formatCode>
                  <c:ptCount val="5"/>
                  <c:pt idx="0">
                    <c:v>1.2507819776266194</c:v>
                  </c:pt>
                  <c:pt idx="1">
                    <c:v>1.3571482010706948</c:v>
                  </c:pt>
                  <c:pt idx="2">
                    <c:v>0.44196173761400742</c:v>
                  </c:pt>
                  <c:pt idx="3">
                    <c:v>1.0200966729787047</c:v>
                  </c:pt>
                  <c:pt idx="4">
                    <c:v>0.45050897142380397</c:v>
                  </c:pt>
                </c:numCache>
              </c:numRef>
            </c:plus>
            <c:minus>
              <c:numRef>
                <c:f>'Medium Combined'!$AD$11:$AD$15</c:f>
                <c:numCache>
                  <c:formatCode>General</c:formatCode>
                  <c:ptCount val="5"/>
                  <c:pt idx="0">
                    <c:v>1.2507819776266194</c:v>
                  </c:pt>
                  <c:pt idx="1">
                    <c:v>1.3571482010706948</c:v>
                  </c:pt>
                  <c:pt idx="2">
                    <c:v>0.44196173761400742</c:v>
                  </c:pt>
                  <c:pt idx="3">
                    <c:v>1.0200966729787047</c:v>
                  </c:pt>
                  <c:pt idx="4">
                    <c:v>0.45050897142380397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Combined'!$R$19:$R$23</c:f>
              <c:numCache>
                <c:formatCode>General</c:formatCode>
                <c:ptCount val="5"/>
                <c:pt idx="0">
                  <c:v>0</c:v>
                </c:pt>
                <c:pt idx="1">
                  <c:v>1.4148484848484877</c:v>
                </c:pt>
                <c:pt idx="2">
                  <c:v>10.247435897435892</c:v>
                </c:pt>
                <c:pt idx="3">
                  <c:v>12.528333333333329</c:v>
                </c:pt>
                <c:pt idx="4">
                  <c:v>12.461666666666666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6-47BD-B000-62FC1322D826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'Medium Combined'!$AF$11:$AF$15</c:f>
                <c:numCache>
                  <c:formatCode>General</c:formatCode>
                  <c:ptCount val="5"/>
                  <c:pt idx="0">
                    <c:v>0.28052783777834778</c:v>
                  </c:pt>
                  <c:pt idx="1">
                    <c:v>1.2993288866009085</c:v>
                  </c:pt>
                  <c:pt idx="2">
                    <c:v>0.58315890249189883</c:v>
                  </c:pt>
                  <c:pt idx="3">
                    <c:v>1.0822283408866085</c:v>
                  </c:pt>
                  <c:pt idx="4">
                    <c:v>0.37456270799723546</c:v>
                  </c:pt>
                </c:numCache>
              </c:numRef>
            </c:plus>
            <c:minus>
              <c:numRef>
                <c:f>'Medium Combined'!$AF$11:$AF$15</c:f>
                <c:numCache>
                  <c:formatCode>General</c:formatCode>
                  <c:ptCount val="5"/>
                  <c:pt idx="0">
                    <c:v>0.28052783777834778</c:v>
                  </c:pt>
                  <c:pt idx="1">
                    <c:v>1.2993288866009085</c:v>
                  </c:pt>
                  <c:pt idx="2">
                    <c:v>0.58315890249189883</c:v>
                  </c:pt>
                  <c:pt idx="3">
                    <c:v>1.0822283408866085</c:v>
                  </c:pt>
                  <c:pt idx="4">
                    <c:v>0.37456270799723546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Combined'!$T$19:$T$23</c:f>
              <c:numCache>
                <c:formatCode>General</c:formatCode>
                <c:ptCount val="5"/>
                <c:pt idx="0">
                  <c:v>0</c:v>
                </c:pt>
                <c:pt idx="1">
                  <c:v>1.0196969696969695</c:v>
                </c:pt>
                <c:pt idx="2">
                  <c:v>8.0205303030303057</c:v>
                </c:pt>
                <c:pt idx="3">
                  <c:v>9.5263636363636337</c:v>
                </c:pt>
                <c:pt idx="4">
                  <c:v>9.1580303030302979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26-47BD-B000-62FC1322D826}"/>
            </c:ext>
          </c:extLst>
        </c:ser>
        <c:ser>
          <c:idx val="6"/>
          <c:order val="6"/>
          <c:tx>
            <c:v>522 kPa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'Medium Combined'!$AH$11:$AH$15</c:f>
                <c:numCache>
                  <c:formatCode>General</c:formatCode>
                  <c:ptCount val="5"/>
                  <c:pt idx="0">
                    <c:v>0.69532766057129869</c:v>
                  </c:pt>
                  <c:pt idx="1">
                    <c:v>0.63291272099452545</c:v>
                  </c:pt>
                  <c:pt idx="2">
                    <c:v>0.64192891138562014</c:v>
                  </c:pt>
                  <c:pt idx="3">
                    <c:v>0.6636276462690216</c:v>
                  </c:pt>
                  <c:pt idx="4">
                    <c:v>0.35940923749953912</c:v>
                  </c:pt>
                </c:numCache>
              </c:numRef>
            </c:plus>
            <c:minus>
              <c:numRef>
                <c:f>'Medium Combined'!$AH$11:$AH$15</c:f>
                <c:numCache>
                  <c:formatCode>General</c:formatCode>
                  <c:ptCount val="5"/>
                  <c:pt idx="0">
                    <c:v>0.69532766057129869</c:v>
                  </c:pt>
                  <c:pt idx="1">
                    <c:v>0.63291272099452545</c:v>
                  </c:pt>
                  <c:pt idx="2">
                    <c:v>0.64192891138562014</c:v>
                  </c:pt>
                  <c:pt idx="3">
                    <c:v>0.6636276462690216</c:v>
                  </c:pt>
                  <c:pt idx="4">
                    <c:v>0.35940923749953912</c:v>
                  </c:pt>
                </c:numCache>
              </c:numRef>
            </c:minus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Combined'!$V$19:$V$23</c:f>
              <c:numCache>
                <c:formatCode>General</c:formatCode>
                <c:ptCount val="5"/>
                <c:pt idx="0">
                  <c:v>0</c:v>
                </c:pt>
                <c:pt idx="1">
                  <c:v>-8.0151515151513308E-2</c:v>
                </c:pt>
                <c:pt idx="2">
                  <c:v>1.1916666666666771</c:v>
                </c:pt>
                <c:pt idx="3">
                  <c:v>1.5189393939394051</c:v>
                </c:pt>
                <c:pt idx="4">
                  <c:v>1.3366666666666731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26-47BD-B000-62FC1322D826}"/>
            </c:ext>
          </c:extLst>
        </c:ser>
        <c:ser>
          <c:idx val="7"/>
          <c:order val="7"/>
          <c:tx>
            <c:v>586 kPa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'Medium Combined'!$AI$11:$AI$15</c:f>
                <c:numCache>
                  <c:formatCode>General</c:formatCode>
                  <c:ptCount val="5"/>
                  <c:pt idx="0">
                    <c:v>1.2057938832523947</c:v>
                  </c:pt>
                  <c:pt idx="1">
                    <c:v>0.74910194166632948</c:v>
                  </c:pt>
                  <c:pt idx="2">
                    <c:v>0.74408034213756413</c:v>
                  </c:pt>
                  <c:pt idx="3">
                    <c:v>1.1165656048795343</c:v>
                  </c:pt>
                  <c:pt idx="4">
                    <c:v>0.49743229578394704</c:v>
                  </c:pt>
                </c:numCache>
              </c:numRef>
            </c:plus>
            <c:minus>
              <c:numRef>
                <c:f>'Medium Combined'!$AI$11:$AI$15</c:f>
                <c:numCache>
                  <c:formatCode>General</c:formatCode>
                  <c:ptCount val="5"/>
                  <c:pt idx="0">
                    <c:v>1.2057938832523947</c:v>
                  </c:pt>
                  <c:pt idx="1">
                    <c:v>0.74910194166632948</c:v>
                  </c:pt>
                  <c:pt idx="2">
                    <c:v>0.74408034213756413</c:v>
                  </c:pt>
                  <c:pt idx="3">
                    <c:v>1.1165656048795343</c:v>
                  </c:pt>
                  <c:pt idx="4">
                    <c:v>0.49743229578394704</c:v>
                  </c:pt>
                </c:numCache>
              </c:numRef>
            </c:minus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'Medium Combined'!$O$27:$O$31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'Medium Combined'!$W$19:$W$23</c:f>
              <c:numCache>
                <c:formatCode>General</c:formatCode>
                <c:ptCount val="5"/>
                <c:pt idx="0">
                  <c:v>0</c:v>
                </c:pt>
                <c:pt idx="1">
                  <c:v>0.85575757575757905</c:v>
                </c:pt>
                <c:pt idx="2">
                  <c:v>1.7433333333333323</c:v>
                </c:pt>
                <c:pt idx="3">
                  <c:v>2.4641666666666637</c:v>
                </c:pt>
                <c:pt idx="4">
                  <c:v>2.643333333333338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26-47BD-B000-62FC1322D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120 kPa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'Medium Combined'!$O$27:$O$31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'Medium Combined'!$Q$19:$Q$23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1.8337762237762245</c:v>
                      </c:pt>
                      <c:pt idx="2">
                        <c:v>14.06454545454546</c:v>
                      </c:pt>
                      <c:pt idx="3">
                        <c:v>16.334545454545452</c:v>
                      </c:pt>
                      <c:pt idx="4">
                        <c:v>16.045378787878789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AF26-47BD-B000-62FC1322D82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256 kPa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'Medium Combined'!$O$27:$O$31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'Medium Combined'!$S$19:$S$23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1.6190151515151534</c:v>
                      </c:pt>
                      <c:pt idx="2">
                        <c:v>9.6066666666666656</c:v>
                      </c:pt>
                      <c:pt idx="3">
                        <c:v>11.609924242424245</c:v>
                      </c:pt>
                      <c:pt idx="4">
                        <c:v>11.539015151515152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F26-47BD-B000-62FC1322D82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427 kPa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'Medium Combined'!$O$27:$O$31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'Medium Combined'!$U$19:$U$23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0.3958333333333357</c:v>
                      </c:pt>
                      <c:pt idx="2">
                        <c:v>4.9023484848484813</c:v>
                      </c:pt>
                      <c:pt idx="3">
                        <c:v>5.7841666666666676</c:v>
                      </c:pt>
                      <c:pt idx="4">
                        <c:v>5.3091666666666626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F26-47BD-B000-62FC1322D82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638 kPa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'Medium Combined'!$O$27:$O$31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'Medium Combined'!$X$19:$X$23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0.66621212121211926</c:v>
                      </c:pt>
                      <c:pt idx="2">
                        <c:v>1.0616666666666674</c:v>
                      </c:pt>
                      <c:pt idx="3">
                        <c:v>1.7225757575757612</c:v>
                      </c:pt>
                      <c:pt idx="4">
                        <c:v>2.5891666666666708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F26-47BD-B000-62FC1322D826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705 kPa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'Medium Combined'!$O$27:$O$31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'Medium Combined'!$Y$19:$Y$23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0.68931818181818016</c:v>
                      </c:pt>
                      <c:pt idx="2">
                        <c:v>1.0263636363636337</c:v>
                      </c:pt>
                      <c:pt idx="3">
                        <c:v>2.0643181818181873</c:v>
                      </c:pt>
                      <c:pt idx="4">
                        <c:v>2.6326515151515153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F26-47BD-B000-62FC1322D826}"/>
                  </c:ext>
                </c:extLst>
              </c15:ser>
            </c15:filteredScatterSeries>
          </c:ext>
        </c:extLst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Combined'!$P$18:$P$22</c:f>
              <c:numCache>
                <c:formatCode>General</c:formatCode>
                <c:ptCount val="5"/>
                <c:pt idx="0">
                  <c:v>0</c:v>
                </c:pt>
                <c:pt idx="1">
                  <c:v>1.7783333333333333</c:v>
                </c:pt>
                <c:pt idx="2">
                  <c:v>6.7137820512820507</c:v>
                </c:pt>
                <c:pt idx="3">
                  <c:v>10.942803030303029</c:v>
                </c:pt>
                <c:pt idx="4">
                  <c:v>9.7846212121212126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91-47BA-AB35-D1C62ED04169}"/>
            </c:ext>
          </c:extLst>
        </c:ser>
        <c:ser>
          <c:idx val="1"/>
          <c:order val="1"/>
          <c:tx>
            <c:v>120 kPa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Combined'!$Q$18:$Q$22</c:f>
              <c:numCache>
                <c:formatCode>General</c:formatCode>
                <c:ptCount val="5"/>
                <c:pt idx="0">
                  <c:v>0</c:v>
                </c:pt>
                <c:pt idx="1">
                  <c:v>6.7496153846153844</c:v>
                </c:pt>
                <c:pt idx="2">
                  <c:v>13.952115384615386</c:v>
                </c:pt>
                <c:pt idx="3">
                  <c:v>15.330069930069932</c:v>
                </c:pt>
                <c:pt idx="4">
                  <c:v>12.739615384615387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91-47BA-AB35-D1C62ED04169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Combined'!$R$18:$R$22</c:f>
              <c:numCache>
                <c:formatCode>General</c:formatCode>
                <c:ptCount val="5"/>
                <c:pt idx="0">
                  <c:v>0</c:v>
                </c:pt>
                <c:pt idx="1">
                  <c:v>5.6099358974359017</c:v>
                </c:pt>
                <c:pt idx="2">
                  <c:v>11.28410256410257</c:v>
                </c:pt>
                <c:pt idx="3">
                  <c:v>12.078951048951049</c:v>
                </c:pt>
                <c:pt idx="4">
                  <c:v>10.516223776223777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91-47BA-AB35-D1C62ED04169}"/>
            </c:ext>
          </c:extLst>
        </c:ser>
        <c:ser>
          <c:idx val="3"/>
          <c:order val="3"/>
          <c:tx>
            <c:v>256 kPa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Combined'!$S$18:$S$22</c:f>
              <c:numCache>
                <c:formatCode>General</c:formatCode>
                <c:ptCount val="5"/>
                <c:pt idx="0">
                  <c:v>0</c:v>
                </c:pt>
                <c:pt idx="1">
                  <c:v>5.0284615384615368</c:v>
                </c:pt>
                <c:pt idx="2">
                  <c:v>9.7308333333333348</c:v>
                </c:pt>
                <c:pt idx="3">
                  <c:v>10.404545454545451</c:v>
                </c:pt>
                <c:pt idx="4">
                  <c:v>7.8741666666666621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91-47BA-AB35-D1C62ED04169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Combined'!$T$18:$T$22</c:f>
              <c:numCache>
                <c:formatCode>General</c:formatCode>
                <c:ptCount val="5"/>
                <c:pt idx="0">
                  <c:v>0</c:v>
                </c:pt>
                <c:pt idx="1">
                  <c:v>4.4438636363636341</c:v>
                </c:pt>
                <c:pt idx="2">
                  <c:v>8.7774999999999999</c:v>
                </c:pt>
                <c:pt idx="3">
                  <c:v>8.4538636363636286</c:v>
                </c:pt>
                <c:pt idx="4">
                  <c:v>7.735681818181817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91-47BA-AB35-D1C62ED04169}"/>
            </c:ext>
          </c:extLst>
        </c:ser>
        <c:ser>
          <c:idx val="5"/>
          <c:order val="5"/>
          <c:tx>
            <c:v>427 kPa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Combined'!$U$18:$U$22</c:f>
              <c:numCache>
                <c:formatCode>General</c:formatCode>
                <c:ptCount val="5"/>
                <c:pt idx="0">
                  <c:v>0</c:v>
                </c:pt>
                <c:pt idx="1">
                  <c:v>1.6430303030303008</c:v>
                </c:pt>
                <c:pt idx="2">
                  <c:v>4.3512121212121215</c:v>
                </c:pt>
                <c:pt idx="3">
                  <c:v>4.7093939393939372</c:v>
                </c:pt>
                <c:pt idx="4">
                  <c:v>3.1849999999999987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91-47BA-AB35-D1C62ED04169}"/>
            </c:ext>
          </c:extLst>
        </c:ser>
        <c:ser>
          <c:idx val="6"/>
          <c:order val="6"/>
          <c:tx>
            <c:v>522 kPa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Combined'!$V$18:$V$22</c:f>
              <c:numCache>
                <c:formatCode>General</c:formatCode>
                <c:ptCount val="5"/>
                <c:pt idx="0">
                  <c:v>0</c:v>
                </c:pt>
                <c:pt idx="1">
                  <c:v>-0.29295454545454547</c:v>
                </c:pt>
                <c:pt idx="2">
                  <c:v>-0.36840909090909335</c:v>
                </c:pt>
                <c:pt idx="3">
                  <c:v>-0.60840909090909179</c:v>
                </c:pt>
                <c:pt idx="4">
                  <c:v>-1.961136363636367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91-47BA-AB35-D1C62ED04169}"/>
            </c:ext>
          </c:extLst>
        </c:ser>
        <c:ser>
          <c:idx val="7"/>
          <c:order val="7"/>
          <c:tx>
            <c:v>586 kPa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Combined'!$W$18:$W$22</c:f>
              <c:numCache>
                <c:formatCode>General</c:formatCode>
                <c:ptCount val="5"/>
                <c:pt idx="0">
                  <c:v>0</c:v>
                </c:pt>
                <c:pt idx="1">
                  <c:v>-0.50416666666666288</c:v>
                </c:pt>
                <c:pt idx="2">
                  <c:v>-1.0962878787878765</c:v>
                </c:pt>
                <c:pt idx="3">
                  <c:v>-1.4590151515151462</c:v>
                </c:pt>
                <c:pt idx="4">
                  <c:v>-1.977499999999992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91-47BA-AB35-D1C62ED04169}"/>
            </c:ext>
          </c:extLst>
        </c:ser>
        <c:ser>
          <c:idx val="8"/>
          <c:order val="8"/>
          <c:tx>
            <c:v>638 kPa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Combined'!$X$18:$X$22</c:f>
              <c:numCache>
                <c:formatCode>General</c:formatCode>
                <c:ptCount val="5"/>
                <c:pt idx="0">
                  <c:v>0</c:v>
                </c:pt>
                <c:pt idx="1">
                  <c:v>0.59916666666667595</c:v>
                </c:pt>
                <c:pt idx="2">
                  <c:v>1.4021212121212159</c:v>
                </c:pt>
                <c:pt idx="3">
                  <c:v>0.33666666666668021</c:v>
                </c:pt>
                <c:pt idx="4">
                  <c:v>-4.1666666666628771E-3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D91-47BA-AB35-D1C62ED04169}"/>
            </c:ext>
          </c:extLst>
        </c:ser>
        <c:ser>
          <c:idx val="9"/>
          <c:order val="9"/>
          <c:tx>
            <c:v>705 kPa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Combined'!$Y$18:$Y$22</c:f>
              <c:numCache>
                <c:formatCode>General</c:formatCode>
                <c:ptCount val="5"/>
                <c:pt idx="0">
                  <c:v>0</c:v>
                </c:pt>
                <c:pt idx="1">
                  <c:v>1.3867948717948622</c:v>
                </c:pt>
                <c:pt idx="2">
                  <c:v>3.4696969696966562E-2</c:v>
                </c:pt>
                <c:pt idx="3">
                  <c:v>0.59499999999999886</c:v>
                </c:pt>
                <c:pt idx="4">
                  <c:v>-0.72666666666667368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D91-47BA-AB35-D1C62ED04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Combined'!$AA$4</c:f>
              <c:strCache>
                <c:ptCount val="1"/>
                <c:pt idx="0">
                  <c:v>0 mmHg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Combined'!$AB$11:$AK$11</c:f>
                <c:numCache>
                  <c:formatCode>General</c:formatCode>
                  <c:ptCount val="10"/>
                  <c:pt idx="0">
                    <c:v>1.1472754561229925</c:v>
                  </c:pt>
                  <c:pt idx="1">
                    <c:v>1.7098430669536617</c:v>
                  </c:pt>
                  <c:pt idx="2">
                    <c:v>0.8822040714418854</c:v>
                  </c:pt>
                  <c:pt idx="3">
                    <c:v>1.6669083158150135</c:v>
                  </c:pt>
                  <c:pt idx="4">
                    <c:v>1.3071286917005025</c:v>
                  </c:pt>
                  <c:pt idx="5">
                    <c:v>1.8899309217240936</c:v>
                  </c:pt>
                  <c:pt idx="6">
                    <c:v>2.3973357607977914</c:v>
                  </c:pt>
                  <c:pt idx="7">
                    <c:v>2.2272271936697927</c:v>
                  </c:pt>
                  <c:pt idx="8">
                    <c:v>1.8949992670769622</c:v>
                  </c:pt>
                  <c:pt idx="9">
                    <c:v>2.0565336261669915</c:v>
                  </c:pt>
                </c:numCache>
              </c:numRef>
            </c:plus>
            <c:minus>
              <c:numRef>
                <c:f>'Low Combined'!$AB$11:$AK$11</c:f>
                <c:numCache>
                  <c:formatCode>General</c:formatCode>
                  <c:ptCount val="10"/>
                  <c:pt idx="0">
                    <c:v>1.1472754561229925</c:v>
                  </c:pt>
                  <c:pt idx="1">
                    <c:v>1.7098430669536617</c:v>
                  </c:pt>
                  <c:pt idx="2">
                    <c:v>0.8822040714418854</c:v>
                  </c:pt>
                  <c:pt idx="3">
                    <c:v>1.6669083158150135</c:v>
                  </c:pt>
                  <c:pt idx="4">
                    <c:v>1.3071286917005025</c:v>
                  </c:pt>
                  <c:pt idx="5">
                    <c:v>1.8899309217240936</c:v>
                  </c:pt>
                  <c:pt idx="6">
                    <c:v>2.3973357607977914</c:v>
                  </c:pt>
                  <c:pt idx="7">
                    <c:v>2.2272271936697927</c:v>
                  </c:pt>
                  <c:pt idx="8">
                    <c:v>1.8949992670769622</c:v>
                  </c:pt>
                  <c:pt idx="9">
                    <c:v>2.0565336261669915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Combined'!$AB$4:$AK$4</c:f>
              <c:numCache>
                <c:formatCode>General</c:formatCode>
                <c:ptCount val="10"/>
                <c:pt idx="0">
                  <c:v>2.3008333333333333</c:v>
                </c:pt>
                <c:pt idx="1">
                  <c:v>7.0753846153846132</c:v>
                </c:pt>
                <c:pt idx="2">
                  <c:v>14.559230769230767</c:v>
                </c:pt>
                <c:pt idx="3">
                  <c:v>15.910000000000002</c:v>
                </c:pt>
                <c:pt idx="4">
                  <c:v>17.102500000000003</c:v>
                </c:pt>
                <c:pt idx="5">
                  <c:v>21.193333333333335</c:v>
                </c:pt>
                <c:pt idx="6">
                  <c:v>29.217500000000001</c:v>
                </c:pt>
                <c:pt idx="7">
                  <c:v>34.410833333333329</c:v>
                </c:pt>
                <c:pt idx="8">
                  <c:v>36.053333333333327</c:v>
                </c:pt>
                <c:pt idx="9">
                  <c:v>38.681666666666672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93-481C-8A60-B83F3910B9E7}"/>
            </c:ext>
          </c:extLst>
        </c:ser>
        <c:ser>
          <c:idx val="1"/>
          <c:order val="1"/>
          <c:tx>
            <c:strRef>
              <c:f>'Low Combined'!$AA$5</c:f>
              <c:strCache>
                <c:ptCount val="1"/>
                <c:pt idx="0">
                  <c:v>20 mmHg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Combined'!$AB$12:$AK$12</c:f>
                <c:numCache>
                  <c:formatCode>General</c:formatCode>
                  <c:ptCount val="10"/>
                  <c:pt idx="0">
                    <c:v>1.2909457665689241</c:v>
                  </c:pt>
                  <c:pt idx="1">
                    <c:v>1.6758505303278226</c:v>
                  </c:pt>
                  <c:pt idx="2">
                    <c:v>0.98876571486317644</c:v>
                  </c:pt>
                  <c:pt idx="3">
                    <c:v>0.67326810471639187</c:v>
                  </c:pt>
                  <c:pt idx="4">
                    <c:v>0.69982170102329699</c:v>
                  </c:pt>
                  <c:pt idx="5">
                    <c:v>0.61013072708414862</c:v>
                  </c:pt>
                  <c:pt idx="6">
                    <c:v>1.1545039362613601</c:v>
                  </c:pt>
                  <c:pt idx="7">
                    <c:v>1.9206480387850575</c:v>
                  </c:pt>
                  <c:pt idx="8">
                    <c:v>1.0108175321655897</c:v>
                  </c:pt>
                  <c:pt idx="9">
                    <c:v>1.4807422574965887</c:v>
                  </c:pt>
                </c:numCache>
              </c:numRef>
            </c:plus>
            <c:minus>
              <c:numRef>
                <c:f>'Low Combined'!$AB$12:$AK$12</c:f>
                <c:numCache>
                  <c:formatCode>General</c:formatCode>
                  <c:ptCount val="10"/>
                  <c:pt idx="0">
                    <c:v>1.2909457665689241</c:v>
                  </c:pt>
                  <c:pt idx="1">
                    <c:v>1.6758505303278226</c:v>
                  </c:pt>
                  <c:pt idx="2">
                    <c:v>0.98876571486317644</c:v>
                  </c:pt>
                  <c:pt idx="3">
                    <c:v>0.67326810471639187</c:v>
                  </c:pt>
                  <c:pt idx="4">
                    <c:v>0.69982170102329699</c:v>
                  </c:pt>
                  <c:pt idx="5">
                    <c:v>0.61013072708414862</c:v>
                  </c:pt>
                  <c:pt idx="6">
                    <c:v>1.1545039362613601</c:v>
                  </c:pt>
                  <c:pt idx="7">
                    <c:v>1.9206480387850575</c:v>
                  </c:pt>
                  <c:pt idx="8">
                    <c:v>1.0108175321655897</c:v>
                  </c:pt>
                  <c:pt idx="9">
                    <c:v>1.4807422574965887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Combined'!$AB$5:$AK$5</c:f>
              <c:numCache>
                <c:formatCode>General</c:formatCode>
                <c:ptCount val="10"/>
                <c:pt idx="0">
                  <c:v>4.0791666666666666</c:v>
                </c:pt>
                <c:pt idx="1">
                  <c:v>13.824999999999998</c:v>
                </c:pt>
                <c:pt idx="2">
                  <c:v>20.169166666666669</c:v>
                </c:pt>
                <c:pt idx="3">
                  <c:v>20.938461538461539</c:v>
                </c:pt>
                <c:pt idx="4">
                  <c:v>21.546363636363637</c:v>
                </c:pt>
                <c:pt idx="5">
                  <c:v>22.836363636363636</c:v>
                </c:pt>
                <c:pt idx="6">
                  <c:v>28.924545454545456</c:v>
                </c:pt>
                <c:pt idx="7">
                  <c:v>33.906666666666666</c:v>
                </c:pt>
                <c:pt idx="8">
                  <c:v>36.652500000000003</c:v>
                </c:pt>
                <c:pt idx="9">
                  <c:v>40.068461538461534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93-481C-8A60-B83F3910B9E7}"/>
            </c:ext>
          </c:extLst>
        </c:ser>
        <c:ser>
          <c:idx val="2"/>
          <c:order val="2"/>
          <c:tx>
            <c:strRef>
              <c:f>'Low Combined'!$AA$6</c:f>
              <c:strCache>
                <c:ptCount val="1"/>
                <c:pt idx="0">
                  <c:v>40 mmHg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'Low Combined'!$AB$13:$AK$13</c:f>
                <c:numCache>
                  <c:formatCode>General</c:formatCode>
                  <c:ptCount val="10"/>
                  <c:pt idx="0">
                    <c:v>2.5303530169785708</c:v>
                  </c:pt>
                  <c:pt idx="1">
                    <c:v>1.4525387258176627</c:v>
                  </c:pt>
                  <c:pt idx="2">
                    <c:v>0.86007105649604487</c:v>
                  </c:pt>
                  <c:pt idx="3">
                    <c:v>0.88770733102501498</c:v>
                  </c:pt>
                  <c:pt idx="4">
                    <c:v>0.63568860301251273</c:v>
                  </c:pt>
                  <c:pt idx="5">
                    <c:v>0.4895334260360692</c:v>
                  </c:pt>
                  <c:pt idx="6">
                    <c:v>1.772196657184393</c:v>
                  </c:pt>
                  <c:pt idx="7">
                    <c:v>0.95011352083808331</c:v>
                  </c:pt>
                  <c:pt idx="8">
                    <c:v>1.5934774074124445</c:v>
                  </c:pt>
                  <c:pt idx="9">
                    <c:v>1.0549129453722947</c:v>
                  </c:pt>
                </c:numCache>
              </c:numRef>
            </c:plus>
            <c:minus>
              <c:numRef>
                <c:f>'Low Combined'!$AB$13:$AK$13</c:f>
                <c:numCache>
                  <c:formatCode>General</c:formatCode>
                  <c:ptCount val="10"/>
                  <c:pt idx="0">
                    <c:v>2.5303530169785708</c:v>
                  </c:pt>
                  <c:pt idx="1">
                    <c:v>1.4525387258176627</c:v>
                  </c:pt>
                  <c:pt idx="2">
                    <c:v>0.86007105649604487</c:v>
                  </c:pt>
                  <c:pt idx="3">
                    <c:v>0.88770733102501498</c:v>
                  </c:pt>
                  <c:pt idx="4">
                    <c:v>0.63568860301251273</c:v>
                  </c:pt>
                  <c:pt idx="5">
                    <c:v>0.4895334260360692</c:v>
                  </c:pt>
                  <c:pt idx="6">
                    <c:v>1.772196657184393</c:v>
                  </c:pt>
                  <c:pt idx="7">
                    <c:v>0.95011352083808331</c:v>
                  </c:pt>
                  <c:pt idx="8">
                    <c:v>1.5934774074124445</c:v>
                  </c:pt>
                  <c:pt idx="9">
                    <c:v>1.0549129453722947</c:v>
                  </c:pt>
                </c:numCache>
              </c:numRef>
            </c:minus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Combined'!$AB$13:$AK$13</c:f>
                <c:numCache>
                  <c:formatCode>General</c:formatCode>
                  <c:ptCount val="10"/>
                  <c:pt idx="0">
                    <c:v>2.5303530169785708</c:v>
                  </c:pt>
                  <c:pt idx="1">
                    <c:v>1.4525387258176627</c:v>
                  </c:pt>
                  <c:pt idx="2">
                    <c:v>0.86007105649604487</c:v>
                  </c:pt>
                  <c:pt idx="3">
                    <c:v>0.88770733102501498</c:v>
                  </c:pt>
                  <c:pt idx="4">
                    <c:v>0.63568860301251273</c:v>
                  </c:pt>
                  <c:pt idx="5">
                    <c:v>0.4895334260360692</c:v>
                  </c:pt>
                  <c:pt idx="6">
                    <c:v>1.772196657184393</c:v>
                  </c:pt>
                  <c:pt idx="7">
                    <c:v>0.95011352083808331</c:v>
                  </c:pt>
                  <c:pt idx="8">
                    <c:v>1.5934774074124445</c:v>
                  </c:pt>
                  <c:pt idx="9">
                    <c:v>1.0549129453722947</c:v>
                  </c:pt>
                </c:numCache>
              </c:numRef>
            </c:plus>
            <c:minus>
              <c:numRef>
                <c:f>'Low Combined'!$AB$13:$AK$13</c:f>
                <c:numCache>
                  <c:formatCode>General</c:formatCode>
                  <c:ptCount val="10"/>
                  <c:pt idx="0">
                    <c:v>2.5303530169785708</c:v>
                  </c:pt>
                  <c:pt idx="1">
                    <c:v>1.4525387258176627</c:v>
                  </c:pt>
                  <c:pt idx="2">
                    <c:v>0.86007105649604487</c:v>
                  </c:pt>
                  <c:pt idx="3">
                    <c:v>0.88770733102501498</c:v>
                  </c:pt>
                  <c:pt idx="4">
                    <c:v>0.63568860301251273</c:v>
                  </c:pt>
                  <c:pt idx="5">
                    <c:v>0.4895334260360692</c:v>
                  </c:pt>
                  <c:pt idx="6">
                    <c:v>1.772196657184393</c:v>
                  </c:pt>
                  <c:pt idx="7">
                    <c:v>0.95011352083808331</c:v>
                  </c:pt>
                  <c:pt idx="8">
                    <c:v>1.5934774074124445</c:v>
                  </c:pt>
                  <c:pt idx="9">
                    <c:v>1.0549129453722947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Combined'!$AB$6:$AK$6</c:f>
              <c:numCache>
                <c:formatCode>General</c:formatCode>
                <c:ptCount val="10"/>
                <c:pt idx="0">
                  <c:v>9.014615384615384</c:v>
                </c:pt>
                <c:pt idx="1">
                  <c:v>21.0275</c:v>
                </c:pt>
                <c:pt idx="2">
                  <c:v>25.843333333333337</c:v>
                </c:pt>
                <c:pt idx="3">
                  <c:v>25.640833333333337</c:v>
                </c:pt>
                <c:pt idx="4">
                  <c:v>25.880000000000003</c:v>
                </c:pt>
                <c:pt idx="5">
                  <c:v>25.544545454545457</c:v>
                </c:pt>
                <c:pt idx="6">
                  <c:v>28.849090909090908</c:v>
                </c:pt>
                <c:pt idx="7">
                  <c:v>33.314545454545453</c:v>
                </c:pt>
                <c:pt idx="8">
                  <c:v>37.455454545454543</c:v>
                </c:pt>
                <c:pt idx="9">
                  <c:v>38.716363636363639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93-481C-8A60-B83F3910B9E7}"/>
            </c:ext>
          </c:extLst>
        </c:ser>
        <c:ser>
          <c:idx val="3"/>
          <c:order val="3"/>
          <c:tx>
            <c:strRef>
              <c:f>'Low Combined'!$AA$7</c:f>
              <c:strCache>
                <c:ptCount val="1"/>
                <c:pt idx="0">
                  <c:v>60 mmHg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Combined'!$AB$14:$AK$14</c:f>
                <c:numCache>
                  <c:formatCode>General</c:formatCode>
                  <c:ptCount val="10"/>
                  <c:pt idx="0">
                    <c:v>1.9617676293090918</c:v>
                  </c:pt>
                  <c:pt idx="1">
                    <c:v>0.89028456774800235</c:v>
                  </c:pt>
                  <c:pt idx="2">
                    <c:v>0.97947869420253064</c:v>
                  </c:pt>
                  <c:pt idx="3">
                    <c:v>0.94744981768154557</c:v>
                  </c:pt>
                  <c:pt idx="4">
                    <c:v>1.3068927251466826</c:v>
                  </c:pt>
                  <c:pt idx="5">
                    <c:v>0.85299569336108794</c:v>
                  </c:pt>
                  <c:pt idx="6">
                    <c:v>0.82469227919988475</c:v>
                  </c:pt>
                  <c:pt idx="7">
                    <c:v>0.96208880880771996</c:v>
                  </c:pt>
                  <c:pt idx="8">
                    <c:v>1.0441351358029196</c:v>
                  </c:pt>
                  <c:pt idx="9">
                    <c:v>1.6641180513680178</c:v>
                  </c:pt>
                </c:numCache>
              </c:numRef>
            </c:plus>
            <c:minus>
              <c:numRef>
                <c:f>'Low Combined'!$AB$14:$AK$14</c:f>
                <c:numCache>
                  <c:formatCode>General</c:formatCode>
                  <c:ptCount val="10"/>
                  <c:pt idx="0">
                    <c:v>1.9617676293090918</c:v>
                  </c:pt>
                  <c:pt idx="1">
                    <c:v>0.89028456774800235</c:v>
                  </c:pt>
                  <c:pt idx="2">
                    <c:v>0.97947869420253064</c:v>
                  </c:pt>
                  <c:pt idx="3">
                    <c:v>0.94744981768154557</c:v>
                  </c:pt>
                  <c:pt idx="4">
                    <c:v>1.3068927251466826</c:v>
                  </c:pt>
                  <c:pt idx="5">
                    <c:v>0.85299569336108794</c:v>
                  </c:pt>
                  <c:pt idx="6">
                    <c:v>0.82469227919988475</c:v>
                  </c:pt>
                  <c:pt idx="7">
                    <c:v>0.96208880880771996</c:v>
                  </c:pt>
                  <c:pt idx="8">
                    <c:v>1.0441351358029196</c:v>
                  </c:pt>
                  <c:pt idx="9">
                    <c:v>1.6641180513680178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Combined'!$AB$7:$AK$7</c:f>
              <c:numCache>
                <c:formatCode>General</c:formatCode>
                <c:ptCount val="10"/>
                <c:pt idx="0">
                  <c:v>13.243636363636362</c:v>
                </c:pt>
                <c:pt idx="1">
                  <c:v>22.405454545454546</c:v>
                </c:pt>
                <c:pt idx="2">
                  <c:v>26.638181818181817</c:v>
                </c:pt>
                <c:pt idx="3">
                  <c:v>26.314545454545453</c:v>
                </c:pt>
                <c:pt idx="4">
                  <c:v>25.556363636363631</c:v>
                </c:pt>
                <c:pt idx="5">
                  <c:v>25.902727272727272</c:v>
                </c:pt>
                <c:pt idx="6">
                  <c:v>28.609090909090909</c:v>
                </c:pt>
                <c:pt idx="7">
                  <c:v>32.951818181818183</c:v>
                </c:pt>
                <c:pt idx="8">
                  <c:v>36.390000000000008</c:v>
                </c:pt>
                <c:pt idx="9">
                  <c:v>39.276666666666671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93-481C-8A60-B83F3910B9E7}"/>
            </c:ext>
          </c:extLst>
        </c:ser>
        <c:ser>
          <c:idx val="4"/>
          <c:order val="4"/>
          <c:tx>
            <c:strRef>
              <c:f>'Low Combined'!$AA$8</c:f>
              <c:strCache>
                <c:ptCount val="1"/>
                <c:pt idx="0">
                  <c:v>80 mmHg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Combined'!$AB$15:$AK$15</c:f>
                <c:numCache>
                  <c:formatCode>General</c:formatCode>
                  <c:ptCount val="10"/>
                  <c:pt idx="0">
                    <c:v>3.5744989824039126</c:v>
                  </c:pt>
                  <c:pt idx="1">
                    <c:v>2.7500118181564162</c:v>
                  </c:pt>
                  <c:pt idx="2">
                    <c:v>1.3944067727653517</c:v>
                  </c:pt>
                  <c:pt idx="3">
                    <c:v>1.5071632201663574</c:v>
                  </c:pt>
                  <c:pt idx="4">
                    <c:v>0.89259395412592257</c:v>
                  </c:pt>
                  <c:pt idx="5">
                    <c:v>2.2773736091286252</c:v>
                  </c:pt>
                  <c:pt idx="6">
                    <c:v>1.6290056795886967</c:v>
                  </c:pt>
                  <c:pt idx="7">
                    <c:v>2.716653374200622</c:v>
                  </c:pt>
                  <c:pt idx="8">
                    <c:v>2.8451580457955843</c:v>
                  </c:pt>
                  <c:pt idx="9">
                    <c:v>2.5442893572338301</c:v>
                  </c:pt>
                </c:numCache>
              </c:numRef>
            </c:plus>
            <c:minus>
              <c:numRef>
                <c:f>'Low Combined'!$AB$15:$AK$15</c:f>
                <c:numCache>
                  <c:formatCode>General</c:formatCode>
                  <c:ptCount val="10"/>
                  <c:pt idx="0">
                    <c:v>3.5744989824039126</c:v>
                  </c:pt>
                  <c:pt idx="1">
                    <c:v>2.7500118181564162</c:v>
                  </c:pt>
                  <c:pt idx="2">
                    <c:v>1.3944067727653517</c:v>
                  </c:pt>
                  <c:pt idx="3">
                    <c:v>1.5071632201663574</c:v>
                  </c:pt>
                  <c:pt idx="4">
                    <c:v>0.89259395412592257</c:v>
                  </c:pt>
                  <c:pt idx="5">
                    <c:v>2.2773736091286252</c:v>
                  </c:pt>
                  <c:pt idx="6">
                    <c:v>1.6290056795886967</c:v>
                  </c:pt>
                  <c:pt idx="7">
                    <c:v>2.716653374200622</c:v>
                  </c:pt>
                  <c:pt idx="8">
                    <c:v>2.8451580457955843</c:v>
                  </c:pt>
                  <c:pt idx="9">
                    <c:v>2.5442893572338301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Combined'!$AB$3:$AK$3</c:f>
              <c:numCache>
                <c:formatCode>General</c:formatCode>
                <c:ptCount val="10"/>
                <c:pt idx="0">
                  <c:v>73</c:v>
                </c:pt>
                <c:pt idx="1">
                  <c:v>120</c:v>
                </c:pt>
                <c:pt idx="2">
                  <c:v>164</c:v>
                </c:pt>
                <c:pt idx="3">
                  <c:v>256</c:v>
                </c:pt>
                <c:pt idx="4">
                  <c:v>353</c:v>
                </c:pt>
                <c:pt idx="5">
                  <c:v>427</c:v>
                </c:pt>
                <c:pt idx="6">
                  <c:v>522</c:v>
                </c:pt>
                <c:pt idx="7">
                  <c:v>586</c:v>
                </c:pt>
                <c:pt idx="8">
                  <c:v>638</c:v>
                </c:pt>
                <c:pt idx="9">
                  <c:v>705</c:v>
                </c:pt>
              </c:numCache>
            </c:numRef>
          </c:xVal>
          <c:yVal>
            <c:numRef>
              <c:f>'Low Combined'!$AB$8:$AK$8</c:f>
              <c:numCache>
                <c:formatCode>General</c:formatCode>
                <c:ptCount val="10"/>
                <c:pt idx="0">
                  <c:v>12.085454545454546</c:v>
                </c:pt>
                <c:pt idx="1">
                  <c:v>19.815000000000001</c:v>
                </c:pt>
                <c:pt idx="2">
                  <c:v>25.075454545454544</c:v>
                </c:pt>
                <c:pt idx="3">
                  <c:v>23.784166666666664</c:v>
                </c:pt>
                <c:pt idx="4">
                  <c:v>24.83818181818182</c:v>
                </c:pt>
                <c:pt idx="5">
                  <c:v>24.378333333333334</c:v>
                </c:pt>
                <c:pt idx="6">
                  <c:v>27.256363636363634</c:v>
                </c:pt>
                <c:pt idx="7">
                  <c:v>32.433333333333337</c:v>
                </c:pt>
                <c:pt idx="8">
                  <c:v>36.049166666666665</c:v>
                </c:pt>
                <c:pt idx="9">
                  <c:v>37.954999999999998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93-481C-8A60-B83F3910B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564767"/>
        <c:axId val="413981599"/>
      </c:scatterChart>
      <c:valAx>
        <c:axId val="117456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Acoustic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81599"/>
        <c:crosses val="autoZero"/>
        <c:crossBetween val="midCat"/>
      </c:valAx>
      <c:valAx>
        <c:axId val="413981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 Intensity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6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73 kPa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Combined'!$AB$11:$AB$15</c:f>
                <c:numCache>
                  <c:formatCode>General</c:formatCode>
                  <c:ptCount val="5"/>
                  <c:pt idx="0">
                    <c:v>1.1472754561229925</c:v>
                  </c:pt>
                  <c:pt idx="1">
                    <c:v>1.2909457665689241</c:v>
                  </c:pt>
                  <c:pt idx="2">
                    <c:v>2.5303530169785708</c:v>
                  </c:pt>
                  <c:pt idx="3">
                    <c:v>1.9617676293090918</c:v>
                  </c:pt>
                  <c:pt idx="4">
                    <c:v>3.5744989824039126</c:v>
                  </c:pt>
                </c:numCache>
              </c:numRef>
            </c:plus>
            <c:minus>
              <c:numRef>
                <c:f>'Low Combined'!$AB$11:$AB$15</c:f>
                <c:numCache>
                  <c:formatCode>General</c:formatCode>
                  <c:ptCount val="5"/>
                  <c:pt idx="0">
                    <c:v>1.1472754561229925</c:v>
                  </c:pt>
                  <c:pt idx="1">
                    <c:v>1.2909457665689241</c:v>
                  </c:pt>
                  <c:pt idx="2">
                    <c:v>2.5303530169785708</c:v>
                  </c:pt>
                  <c:pt idx="3">
                    <c:v>1.9617676293090918</c:v>
                  </c:pt>
                  <c:pt idx="4">
                    <c:v>3.5744989824039126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Combined'!$P$18:$P$22</c:f>
              <c:numCache>
                <c:formatCode>General</c:formatCode>
                <c:ptCount val="5"/>
                <c:pt idx="0">
                  <c:v>0</c:v>
                </c:pt>
                <c:pt idx="1">
                  <c:v>1.7783333333333333</c:v>
                </c:pt>
                <c:pt idx="2">
                  <c:v>6.7137820512820507</c:v>
                </c:pt>
                <c:pt idx="3">
                  <c:v>10.942803030303029</c:v>
                </c:pt>
                <c:pt idx="4">
                  <c:v>9.7846212121212126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2-4570-8AE8-90DC493CFF2E}"/>
            </c:ext>
          </c:extLst>
        </c:ser>
        <c:ser>
          <c:idx val="2"/>
          <c:order val="2"/>
          <c:tx>
            <c:v>164 kPa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Combined'!$AD$11:$AD$15</c:f>
                <c:numCache>
                  <c:formatCode>General</c:formatCode>
                  <c:ptCount val="5"/>
                  <c:pt idx="0">
                    <c:v>0.8822040714418854</c:v>
                  </c:pt>
                  <c:pt idx="1">
                    <c:v>0.98876571486317644</c:v>
                  </c:pt>
                  <c:pt idx="2">
                    <c:v>0.86007105649604487</c:v>
                  </c:pt>
                  <c:pt idx="3">
                    <c:v>0.97947869420253064</c:v>
                  </c:pt>
                  <c:pt idx="4">
                    <c:v>1.3944067727653517</c:v>
                  </c:pt>
                </c:numCache>
              </c:numRef>
            </c:plus>
            <c:minus>
              <c:numRef>
                <c:f>'Low Combined'!$AD$11:$AD$15</c:f>
                <c:numCache>
                  <c:formatCode>General</c:formatCode>
                  <c:ptCount val="5"/>
                  <c:pt idx="0">
                    <c:v>0.8822040714418854</c:v>
                  </c:pt>
                  <c:pt idx="1">
                    <c:v>0.98876571486317644</c:v>
                  </c:pt>
                  <c:pt idx="2">
                    <c:v>0.86007105649604487</c:v>
                  </c:pt>
                  <c:pt idx="3">
                    <c:v>0.97947869420253064</c:v>
                  </c:pt>
                  <c:pt idx="4">
                    <c:v>1.3944067727653517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Combined'!$R$18:$R$22</c:f>
              <c:numCache>
                <c:formatCode>General</c:formatCode>
                <c:ptCount val="5"/>
                <c:pt idx="0">
                  <c:v>0</c:v>
                </c:pt>
                <c:pt idx="1">
                  <c:v>5.6099358974359017</c:v>
                </c:pt>
                <c:pt idx="2">
                  <c:v>11.28410256410257</c:v>
                </c:pt>
                <c:pt idx="3">
                  <c:v>12.078951048951049</c:v>
                </c:pt>
                <c:pt idx="4">
                  <c:v>10.516223776223777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C2-4570-8AE8-90DC493CFF2E}"/>
            </c:ext>
          </c:extLst>
        </c:ser>
        <c:ser>
          <c:idx val="4"/>
          <c:order val="4"/>
          <c:tx>
            <c:v>353 kPa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'Low Combined'!$AF$11:$AF$15</c:f>
                <c:numCache>
                  <c:formatCode>General</c:formatCode>
                  <c:ptCount val="5"/>
                  <c:pt idx="0">
                    <c:v>1.3071286917005025</c:v>
                  </c:pt>
                  <c:pt idx="1">
                    <c:v>0.69982170102329699</c:v>
                  </c:pt>
                  <c:pt idx="2">
                    <c:v>0.63568860301251273</c:v>
                  </c:pt>
                  <c:pt idx="3">
                    <c:v>1.3068927251466826</c:v>
                  </c:pt>
                  <c:pt idx="4">
                    <c:v>0.89259395412592257</c:v>
                  </c:pt>
                </c:numCache>
              </c:numRef>
            </c:plus>
            <c:minus>
              <c:numRef>
                <c:f>'Low Combined'!$AF$11:$AF$15</c:f>
                <c:numCache>
                  <c:formatCode>General</c:formatCode>
                  <c:ptCount val="5"/>
                  <c:pt idx="0">
                    <c:v>1.3071286917005025</c:v>
                  </c:pt>
                  <c:pt idx="1">
                    <c:v>0.69982170102329699</c:v>
                  </c:pt>
                  <c:pt idx="2">
                    <c:v>0.63568860301251273</c:v>
                  </c:pt>
                  <c:pt idx="3">
                    <c:v>1.3068927251466826</c:v>
                  </c:pt>
                  <c:pt idx="4">
                    <c:v>0.89259395412592257</c:v>
                  </c:pt>
                </c:numCache>
              </c:numRef>
            </c:minus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Combined'!$AF$11:$AF$15</c:f>
                <c:numCache>
                  <c:formatCode>General</c:formatCode>
                  <c:ptCount val="5"/>
                  <c:pt idx="0">
                    <c:v>1.3071286917005025</c:v>
                  </c:pt>
                  <c:pt idx="1">
                    <c:v>0.69982170102329699</c:v>
                  </c:pt>
                  <c:pt idx="2">
                    <c:v>0.63568860301251273</c:v>
                  </c:pt>
                  <c:pt idx="3">
                    <c:v>1.3068927251466826</c:v>
                  </c:pt>
                  <c:pt idx="4">
                    <c:v>0.89259395412592257</c:v>
                  </c:pt>
                </c:numCache>
              </c:numRef>
            </c:plus>
            <c:minus>
              <c:numRef>
                <c:f>'Low Combined'!$AF$11:$AF$15</c:f>
                <c:numCache>
                  <c:formatCode>General</c:formatCode>
                  <c:ptCount val="5"/>
                  <c:pt idx="0">
                    <c:v>1.3071286917005025</c:v>
                  </c:pt>
                  <c:pt idx="1">
                    <c:v>0.69982170102329699</c:v>
                  </c:pt>
                  <c:pt idx="2">
                    <c:v>0.63568860301251273</c:v>
                  </c:pt>
                  <c:pt idx="3">
                    <c:v>1.3068927251466826</c:v>
                  </c:pt>
                  <c:pt idx="4">
                    <c:v>0.89259395412592257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Combined'!$T$18:$T$22</c:f>
              <c:numCache>
                <c:formatCode>General</c:formatCode>
                <c:ptCount val="5"/>
                <c:pt idx="0">
                  <c:v>0</c:v>
                </c:pt>
                <c:pt idx="1">
                  <c:v>4.4438636363636341</c:v>
                </c:pt>
                <c:pt idx="2">
                  <c:v>8.7774999999999999</c:v>
                </c:pt>
                <c:pt idx="3">
                  <c:v>8.4538636363636286</c:v>
                </c:pt>
                <c:pt idx="4">
                  <c:v>7.735681818181817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C2-4570-8AE8-90DC493CFF2E}"/>
            </c:ext>
          </c:extLst>
        </c:ser>
        <c:ser>
          <c:idx val="6"/>
          <c:order val="6"/>
          <c:tx>
            <c:v>522 kPa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Combined'!$AH$11:$AH$15</c:f>
                <c:numCache>
                  <c:formatCode>General</c:formatCode>
                  <c:ptCount val="5"/>
                  <c:pt idx="0">
                    <c:v>2.3973357607977914</c:v>
                  </c:pt>
                  <c:pt idx="1">
                    <c:v>1.1545039362613601</c:v>
                  </c:pt>
                  <c:pt idx="2">
                    <c:v>1.772196657184393</c:v>
                  </c:pt>
                  <c:pt idx="3">
                    <c:v>0.82469227919988475</c:v>
                  </c:pt>
                  <c:pt idx="4">
                    <c:v>1.6290056795886967</c:v>
                  </c:pt>
                </c:numCache>
              </c:numRef>
            </c:plus>
            <c:minus>
              <c:numRef>
                <c:f>'Low Combined'!$AH$11:$AH$15</c:f>
                <c:numCache>
                  <c:formatCode>General</c:formatCode>
                  <c:ptCount val="5"/>
                  <c:pt idx="0">
                    <c:v>2.3973357607977914</c:v>
                  </c:pt>
                  <c:pt idx="1">
                    <c:v>1.1545039362613601</c:v>
                  </c:pt>
                  <c:pt idx="2">
                    <c:v>1.772196657184393</c:v>
                  </c:pt>
                  <c:pt idx="3">
                    <c:v>0.82469227919988475</c:v>
                  </c:pt>
                  <c:pt idx="4">
                    <c:v>1.6290056795886967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Combined'!$V$18:$V$22</c:f>
              <c:numCache>
                <c:formatCode>General</c:formatCode>
                <c:ptCount val="5"/>
                <c:pt idx="0">
                  <c:v>0</c:v>
                </c:pt>
                <c:pt idx="1">
                  <c:v>-0.29295454545454547</c:v>
                </c:pt>
                <c:pt idx="2">
                  <c:v>-0.36840909090909335</c:v>
                </c:pt>
                <c:pt idx="3">
                  <c:v>-0.60840909090909179</c:v>
                </c:pt>
                <c:pt idx="4">
                  <c:v>-1.961136363636367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C2-4570-8AE8-90DC493CFF2E}"/>
            </c:ext>
          </c:extLst>
        </c:ser>
        <c:ser>
          <c:idx val="7"/>
          <c:order val="7"/>
          <c:tx>
            <c:v>586 kPa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'Low Combined'!$AI$11:$AI$15</c:f>
                <c:numCache>
                  <c:formatCode>General</c:formatCode>
                  <c:ptCount val="5"/>
                  <c:pt idx="0">
                    <c:v>2.2272271936697927</c:v>
                  </c:pt>
                  <c:pt idx="1">
                    <c:v>1.9206480387850575</c:v>
                  </c:pt>
                  <c:pt idx="2">
                    <c:v>0.95011352083808331</c:v>
                  </c:pt>
                  <c:pt idx="3">
                    <c:v>0.96208880880771996</c:v>
                  </c:pt>
                  <c:pt idx="4">
                    <c:v>2.716653374200622</c:v>
                  </c:pt>
                </c:numCache>
              </c:numRef>
            </c:plus>
            <c:minus>
              <c:numRef>
                <c:f>'Low Combined'!$AI$11:$AI$15</c:f>
                <c:numCache>
                  <c:formatCode>General</c:formatCode>
                  <c:ptCount val="5"/>
                  <c:pt idx="0">
                    <c:v>2.2272271936697927</c:v>
                  </c:pt>
                  <c:pt idx="1">
                    <c:v>1.9206480387850575</c:v>
                  </c:pt>
                  <c:pt idx="2">
                    <c:v>0.95011352083808331</c:v>
                  </c:pt>
                  <c:pt idx="3">
                    <c:v>0.96208880880771996</c:v>
                  </c:pt>
                  <c:pt idx="4">
                    <c:v>2.716653374200622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'Low Combined'!$O$26:$O$30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'Low Combined'!$W$18:$W$22</c:f>
              <c:numCache>
                <c:formatCode>General</c:formatCode>
                <c:ptCount val="5"/>
                <c:pt idx="0">
                  <c:v>0</c:v>
                </c:pt>
                <c:pt idx="1">
                  <c:v>-0.50416666666666288</c:v>
                </c:pt>
                <c:pt idx="2">
                  <c:v>-1.0962878787878765</c:v>
                </c:pt>
                <c:pt idx="3">
                  <c:v>-1.4590151515151462</c:v>
                </c:pt>
                <c:pt idx="4">
                  <c:v>-1.977499999999992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C2-4570-8AE8-90DC493CF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83791"/>
        <c:axId val="6343847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120 kPa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'Low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'Low Combined'!$Q$18:$Q$22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6.7496153846153844</c:v>
                      </c:pt>
                      <c:pt idx="2">
                        <c:v>13.952115384615386</c:v>
                      </c:pt>
                      <c:pt idx="3">
                        <c:v>15.330069930069932</c:v>
                      </c:pt>
                      <c:pt idx="4">
                        <c:v>12.739615384615387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CFC2-4570-8AE8-90DC493CFF2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256 kPa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Combined'!$S$18:$S$22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5.0284615384615368</c:v>
                      </c:pt>
                      <c:pt idx="2">
                        <c:v>9.7308333333333348</c:v>
                      </c:pt>
                      <c:pt idx="3">
                        <c:v>10.404545454545451</c:v>
                      </c:pt>
                      <c:pt idx="4">
                        <c:v>7.8741666666666621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FC2-4570-8AE8-90DC493CFF2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427 kPa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Combined'!$U$18:$U$22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1.6430303030303008</c:v>
                      </c:pt>
                      <c:pt idx="2">
                        <c:v>4.3512121212121215</c:v>
                      </c:pt>
                      <c:pt idx="3">
                        <c:v>4.7093939393939372</c:v>
                      </c:pt>
                      <c:pt idx="4">
                        <c:v>3.1849999999999987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FC2-4570-8AE8-90DC493CFF2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638 kPa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Combined'!$X$18:$X$22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0.59916666666667595</c:v>
                      </c:pt>
                      <c:pt idx="2">
                        <c:v>1.4021212121212159</c:v>
                      </c:pt>
                      <c:pt idx="3">
                        <c:v>0.33666666666668021</c:v>
                      </c:pt>
                      <c:pt idx="4">
                        <c:v>-4.1666666666628771E-3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FC2-4570-8AE8-90DC493CFF2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705 kPa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Combined'!$O$26:$O$30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'Low Combined'!$Y$18:$Y$22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1.3867948717948622</c:v>
                      </c:pt>
                      <c:pt idx="2">
                        <c:v>3.4696969696966562E-2</c:v>
                      </c:pt>
                      <c:pt idx="3">
                        <c:v>0.59499999999999886</c:v>
                      </c:pt>
                      <c:pt idx="4">
                        <c:v>-0.72666666666667368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FC2-4570-8AE8-90DC493CFF2E}"/>
                  </c:ext>
                </c:extLst>
              </c15:ser>
            </c15:filteredScatterSeries>
          </c:ext>
        </c:extLst>
      </c:scatterChart>
      <c:valAx>
        <c:axId val="6343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4751"/>
        <c:crossesAt val="-5"/>
        <c:crossBetween val="midCat"/>
      </c:valAx>
      <c:valAx>
        <c:axId val="63438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Subharmonic</a:t>
                </a:r>
                <a:r>
                  <a:rPr lang="en-US" baseline="0"/>
                  <a:t> Intensity (dB re atm)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36195</xdr:colOff>
      <xdr:row>13</xdr:row>
      <xdr:rowOff>21907</xdr:rowOff>
    </xdr:from>
    <xdr:to>
      <xdr:col>22</xdr:col>
      <xdr:colOff>340995</xdr:colOff>
      <xdr:row>28</xdr:row>
      <xdr:rowOff>54292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E09829-FF54-414C-F431-CCD2E6129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25</xdr:row>
      <xdr:rowOff>46672</xdr:rowOff>
    </xdr:from>
    <xdr:to>
      <xdr:col>10</xdr:col>
      <xdr:colOff>243840</xdr:colOff>
      <xdr:row>40</xdr:row>
      <xdr:rowOff>73342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20372-56BE-3036-5EBD-FA79B807C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563880</xdr:colOff>
      <xdr:row>41</xdr:row>
      <xdr:rowOff>40957</xdr:rowOff>
    </xdr:from>
    <xdr:to>
      <xdr:col>10</xdr:col>
      <xdr:colOff>259080</xdr:colOff>
      <xdr:row>56</xdr:row>
      <xdr:rowOff>77152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70D82F-F127-5224-4334-CADD55A69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563880</xdr:colOff>
      <xdr:row>57</xdr:row>
      <xdr:rowOff>44767</xdr:rowOff>
    </xdr:from>
    <xdr:to>
      <xdr:col>10</xdr:col>
      <xdr:colOff>259080</xdr:colOff>
      <xdr:row>72</xdr:row>
      <xdr:rowOff>79057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BC8B1F-FB59-396F-5207-31E397620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25</xdr:row>
      <xdr:rowOff>44767</xdr:rowOff>
    </xdr:from>
    <xdr:to>
      <xdr:col>18</xdr:col>
      <xdr:colOff>361950</xdr:colOff>
      <xdr:row>40</xdr:row>
      <xdr:rowOff>73342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7F2F2D-7C9B-B403-5C5B-A187992D6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64770</xdr:colOff>
      <xdr:row>41</xdr:row>
      <xdr:rowOff>39052</xdr:rowOff>
    </xdr:from>
    <xdr:to>
      <xdr:col>18</xdr:col>
      <xdr:colOff>369570</xdr:colOff>
      <xdr:row>56</xdr:row>
      <xdr:rowOff>75247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6F7E5F-B5D2-309F-C7C9-4FCDCF954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38100</xdr:colOff>
      <xdr:row>57</xdr:row>
      <xdr:rowOff>60007</xdr:rowOff>
    </xdr:from>
    <xdr:to>
      <xdr:col>18</xdr:col>
      <xdr:colOff>342900</xdr:colOff>
      <xdr:row>72</xdr:row>
      <xdr:rowOff>84772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2C01A6-E4FC-A76C-4FB6-7BEC428C7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36</xdr:row>
      <xdr:rowOff>0</xdr:rowOff>
    </xdr:from>
    <xdr:to>
      <xdr:col>27</xdr:col>
      <xdr:colOff>307521</xdr:colOff>
      <xdr:row>51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01F6C7-981D-4B32-8987-73C15EC12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52</xdr:row>
      <xdr:rowOff>0</xdr:rowOff>
    </xdr:from>
    <xdr:to>
      <xdr:col>27</xdr:col>
      <xdr:colOff>307521</xdr:colOff>
      <xdr:row>67</xdr:row>
      <xdr:rowOff>36196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209F27-3ED8-4097-9744-80C2BCE5F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68</xdr:row>
      <xdr:rowOff>0</xdr:rowOff>
    </xdr:from>
    <xdr:to>
      <xdr:col>27</xdr:col>
      <xdr:colOff>307521</xdr:colOff>
      <xdr:row>83</xdr:row>
      <xdr:rowOff>32385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36195C-3835-442D-951F-86A562F39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76</xdr:row>
      <xdr:rowOff>0</xdr:rowOff>
    </xdr:from>
    <xdr:to>
      <xdr:col>20</xdr:col>
      <xdr:colOff>304800</xdr:colOff>
      <xdr:row>91</xdr:row>
      <xdr:rowOff>26670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4293397-3917-47A3-8AC0-39E49249D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92</xdr:row>
      <xdr:rowOff>0</xdr:rowOff>
    </xdr:from>
    <xdr:to>
      <xdr:col>20</xdr:col>
      <xdr:colOff>304800</xdr:colOff>
      <xdr:row>107</xdr:row>
      <xdr:rowOff>26670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4CBDDD3-E3C4-4DA1-8E2A-6FC49E1DC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33618</xdr:colOff>
      <xdr:row>108</xdr:row>
      <xdr:rowOff>0</xdr:rowOff>
    </xdr:from>
    <xdr:to>
      <xdr:col>20</xdr:col>
      <xdr:colOff>338418</xdr:colOff>
      <xdr:row>123</xdr:row>
      <xdr:rowOff>24766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401D172-141B-4186-8ABC-DA6181AE8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216722</xdr:colOff>
      <xdr:row>5</xdr:row>
      <xdr:rowOff>17816</xdr:rowOff>
    </xdr:from>
    <xdr:to>
      <xdr:col>33</xdr:col>
      <xdr:colOff>549089</xdr:colOff>
      <xdr:row>20</xdr:row>
      <xdr:rowOff>75415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A9929F-BF42-3409-331E-9A9203578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209102</xdr:colOff>
      <xdr:row>21</xdr:row>
      <xdr:rowOff>19722</xdr:rowOff>
    </xdr:from>
    <xdr:to>
      <xdr:col>33</xdr:col>
      <xdr:colOff>552899</xdr:colOff>
      <xdr:row>36</xdr:row>
      <xdr:rowOff>77320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A709AC-57D8-9C43-75E8-44B7C223F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437334</xdr:colOff>
      <xdr:row>38</xdr:row>
      <xdr:rowOff>169816</xdr:rowOff>
    </xdr:from>
    <xdr:to>
      <xdr:col>36</xdr:col>
      <xdr:colOff>106953</xdr:colOff>
      <xdr:row>54</xdr:row>
      <xdr:rowOff>78921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5518DF9-494B-2542-1F88-39978552C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20</xdr:row>
      <xdr:rowOff>63817</xdr:rowOff>
    </xdr:from>
    <xdr:to>
      <xdr:col>16</xdr:col>
      <xdr:colOff>85725</xdr:colOff>
      <xdr:row>35</xdr:row>
      <xdr:rowOff>92392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4F92C-491D-32B2-17A6-FF95CF0F0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463586</xdr:colOff>
      <xdr:row>24</xdr:row>
      <xdr:rowOff>22580</xdr:rowOff>
    </xdr:from>
    <xdr:to>
      <xdr:col>34</xdr:col>
      <xdr:colOff>158786</xdr:colOff>
      <xdr:row>40</xdr:row>
      <xdr:rowOff>62585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E211B-B96E-41AB-B0DF-B611B2257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255495</xdr:colOff>
      <xdr:row>19</xdr:row>
      <xdr:rowOff>44824</xdr:rowOff>
    </xdr:from>
    <xdr:to>
      <xdr:col>24</xdr:col>
      <xdr:colOff>560295</xdr:colOff>
      <xdr:row>34</xdr:row>
      <xdr:rowOff>98612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55746A-A934-C66E-3A4A-E284BAC8A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791009</xdr:colOff>
      <xdr:row>17</xdr:row>
      <xdr:rowOff>73255</xdr:rowOff>
    </xdr:from>
    <xdr:to>
      <xdr:col>36</xdr:col>
      <xdr:colOff>772478</xdr:colOff>
      <xdr:row>32</xdr:row>
      <xdr:rowOff>73256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94CA1-EE4C-2883-31AE-B0F2982AE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268515</xdr:colOff>
      <xdr:row>14</xdr:row>
      <xdr:rowOff>14514</xdr:rowOff>
    </xdr:from>
    <xdr:to>
      <xdr:col>30</xdr:col>
      <xdr:colOff>261258</xdr:colOff>
      <xdr:row>29</xdr:row>
      <xdr:rowOff>36285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4876FB-4478-F336-DB9E-7ABAD42DF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2155372</xdr:colOff>
      <xdr:row>7</xdr:row>
      <xdr:rowOff>72571</xdr:rowOff>
    </xdr:from>
    <xdr:to>
      <xdr:col>41</xdr:col>
      <xdr:colOff>602343</xdr:colOff>
      <xdr:row>22</xdr:row>
      <xdr:rowOff>94342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DB458E-6BE9-1FB7-9138-DBB4BA6CB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499573</xdr:colOff>
      <xdr:row>37</xdr:row>
      <xdr:rowOff>63096</xdr:rowOff>
    </xdr:from>
    <xdr:to>
      <xdr:col>26</xdr:col>
      <xdr:colOff>196833</xdr:colOff>
      <xdr:row>52</xdr:row>
      <xdr:rowOff>95481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95BE1-404A-4395-AE3C-5C60DC9AC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370702</xdr:colOff>
      <xdr:row>18</xdr:row>
      <xdr:rowOff>123568</xdr:rowOff>
    </xdr:from>
    <xdr:to>
      <xdr:col>24</xdr:col>
      <xdr:colOff>82378</xdr:colOff>
      <xdr:row>33</xdr:row>
      <xdr:rowOff>86497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483909-013E-4ABF-AD9D-F801184D8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18</xdr:row>
      <xdr:rowOff>0</xdr:rowOff>
    </xdr:from>
    <xdr:to>
      <xdr:col>32</xdr:col>
      <xdr:colOff>321276</xdr:colOff>
      <xdr:row>35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EF03DC-5314-4C4A-9A17-0B8E78222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216722</xdr:colOff>
      <xdr:row>6</xdr:row>
      <xdr:rowOff>17816</xdr:rowOff>
    </xdr:from>
    <xdr:to>
      <xdr:col>33</xdr:col>
      <xdr:colOff>549089</xdr:colOff>
      <xdr:row>21</xdr:row>
      <xdr:rowOff>75415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39FE1-0A30-4588-827E-675B5AA8B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290648</xdr:colOff>
      <xdr:row>25</xdr:row>
      <xdr:rowOff>128995</xdr:rowOff>
    </xdr:from>
    <xdr:to>
      <xdr:col>29</xdr:col>
      <xdr:colOff>582113</xdr:colOff>
      <xdr:row>41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F79BBB-D6C7-1B6C-02B0-6B23936B6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317862</xdr:colOff>
      <xdr:row>42</xdr:row>
      <xdr:rowOff>20139</xdr:rowOff>
    </xdr:from>
    <xdr:to>
      <xdr:col>29</xdr:col>
      <xdr:colOff>609327</xdr:colOff>
      <xdr:row>57</xdr:row>
      <xdr:rowOff>106136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8954E1-7C98-8DBA-8ADE-A80EA7765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345076</xdr:colOff>
      <xdr:row>25</xdr:row>
      <xdr:rowOff>169817</xdr:rowOff>
    </xdr:from>
    <xdr:to>
      <xdr:col>38</xdr:col>
      <xdr:colOff>24220</xdr:colOff>
      <xdr:row>41</xdr:row>
      <xdr:rowOff>78921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B720BA-0E3F-CFA2-3E92-87E6436C7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255495</xdr:colOff>
      <xdr:row>25</xdr:row>
      <xdr:rowOff>44824</xdr:rowOff>
    </xdr:from>
    <xdr:to>
      <xdr:col>24</xdr:col>
      <xdr:colOff>560295</xdr:colOff>
      <xdr:row>46</xdr:row>
      <xdr:rowOff>98612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EF073D-8954-48E2-8209-3E8C19C2A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543373</xdr:colOff>
      <xdr:row>21</xdr:row>
      <xdr:rowOff>138281</xdr:rowOff>
    </xdr:from>
    <xdr:to>
      <xdr:col>35</xdr:col>
      <xdr:colOff>272526</xdr:colOff>
      <xdr:row>47</xdr:row>
      <xdr:rowOff>100853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F11EB4-60CB-DE16-932B-64948EE8F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49</xdr:row>
      <xdr:rowOff>0</xdr:rowOff>
    </xdr:from>
    <xdr:to>
      <xdr:col>24</xdr:col>
      <xdr:colOff>304800</xdr:colOff>
      <xdr:row>70</xdr:row>
      <xdr:rowOff>48073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B28409-C972-48C0-BF3F-6DB7CFA8A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282045</xdr:colOff>
      <xdr:row>38</xdr:row>
      <xdr:rowOff>8969</xdr:rowOff>
    </xdr:from>
    <xdr:to>
      <xdr:col>26</xdr:col>
      <xdr:colOff>160586</xdr:colOff>
      <xdr:row>64</xdr:row>
      <xdr:rowOff>91108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054EC-7C54-4C60-A9D9-F1A31740D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21</xdr:row>
      <xdr:rowOff>0</xdr:rowOff>
    </xdr:from>
    <xdr:to>
      <xdr:col>25</xdr:col>
      <xdr:colOff>293077</xdr:colOff>
      <xdr:row>35</xdr:row>
      <xdr:rowOff>164123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057643-2CB6-4B72-8FDB-BCF22AF84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21</xdr:row>
      <xdr:rowOff>0</xdr:rowOff>
    </xdr:from>
    <xdr:to>
      <xdr:col>34</xdr:col>
      <xdr:colOff>289266</xdr:colOff>
      <xdr:row>35</xdr:row>
      <xdr:rowOff>167933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0F3F15-BCCC-4DDD-9D59-3B68E0186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255495</xdr:colOff>
      <xdr:row>26</xdr:row>
      <xdr:rowOff>44824</xdr:rowOff>
    </xdr:from>
    <xdr:to>
      <xdr:col>24</xdr:col>
      <xdr:colOff>560295</xdr:colOff>
      <xdr:row>47</xdr:row>
      <xdr:rowOff>98612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5EA4F-B744-4A8E-AD73-48F59D6E5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429410</xdr:colOff>
      <xdr:row>22</xdr:row>
      <xdr:rowOff>44823</xdr:rowOff>
    </xdr:from>
    <xdr:to>
      <xdr:col>35</xdr:col>
      <xdr:colOff>158563</xdr:colOff>
      <xdr:row>49</xdr:row>
      <xdr:rowOff>7396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7740B-11C3-40CD-8F63-C6A62DF0B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50</xdr:row>
      <xdr:rowOff>0</xdr:rowOff>
    </xdr:from>
    <xdr:to>
      <xdr:col>24</xdr:col>
      <xdr:colOff>304800</xdr:colOff>
      <xdr:row>71</xdr:row>
      <xdr:rowOff>48073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092043-CDF3-4DF6-B722-341748DDA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255495</xdr:colOff>
      <xdr:row>25</xdr:row>
      <xdr:rowOff>44824</xdr:rowOff>
    </xdr:from>
    <xdr:to>
      <xdr:col>24</xdr:col>
      <xdr:colOff>560295</xdr:colOff>
      <xdr:row>46</xdr:row>
      <xdr:rowOff>98612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90B18-B3AF-4488-80C5-45C013D9E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543373</xdr:colOff>
      <xdr:row>21</xdr:row>
      <xdr:rowOff>138281</xdr:rowOff>
    </xdr:from>
    <xdr:to>
      <xdr:col>35</xdr:col>
      <xdr:colOff>272526</xdr:colOff>
      <xdr:row>47</xdr:row>
      <xdr:rowOff>100853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51E250-CA14-4E9F-838D-554E069BE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49</xdr:row>
      <xdr:rowOff>0</xdr:rowOff>
    </xdr:from>
    <xdr:to>
      <xdr:col>24</xdr:col>
      <xdr:colOff>304800</xdr:colOff>
      <xdr:row>70</xdr:row>
      <xdr:rowOff>48073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71F393-7593-4145-B82B-91E20FD2C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na" refreshedDate="46074.780858564816" createdVersion="8" refreshedVersion="8" minRefreshableVersion="3" recordCount="20" xr:uid="{45BD176A-1877-4733-9F23-481B7BC54B52}">
  <cacheSource type="worksheet">
    <worksheetSource name="Table2"/>
  </cacheSource>
  <cacheFields count="32">
    <cacheField name="DICOM File Name" numFmtId="0">
      <sharedItems/>
    </cacheField>
    <cacheField name="Excel File Source Name" numFmtId="0">
      <sharedItems/>
    </cacheField>
    <cacheField name="ROI Name" numFmtId="0">
      <sharedItems/>
    </cacheField>
    <cacheField name="PSI" numFmtId="0">
      <sharedItems containsSemiMixedTypes="0" containsString="0" containsNumber="1" minValue="0" maxValue="0.4"/>
    </cacheField>
    <cacheField name="mmHg" numFmtId="0">
      <sharedItems containsSemiMixedTypes="0" containsString="0" containsNumber="1" containsInteger="1" minValue="0" maxValue="20" count="2">
        <n v="0"/>
        <n v="20"/>
      </sharedItems>
    </cacheField>
    <cacheField name="Amp" numFmtId="0">
      <sharedItems containsSemiMixedTypes="0" containsString="0" containsNumber="1" containsInteger="1" minValue="41" maxValue="74"/>
    </cacheField>
    <cacheField name="kPa" numFmtId="0">
      <sharedItems containsSemiMixedTypes="0" containsString="0" containsNumber="1" containsInteger="1" minValue="73" maxValue="705" count="10">
        <n v="73"/>
        <n v="120"/>
        <n v="164"/>
        <n v="256"/>
        <n v="353"/>
        <n v="427"/>
        <n v="522"/>
        <n v="586"/>
        <n v="638"/>
        <n v="705"/>
      </sharedItems>
    </cacheField>
    <cacheField name="Voltage" numFmtId="0">
      <sharedItems containsSemiMixedTypes="0" containsString="0" containsNumber="1" containsInteger="1" minValue="3" maxValue="20"/>
    </cacheField>
    <cacheField name="Decibel Gain Adjustment" numFmtId="0">
      <sharedItems containsSemiMixedTypes="0" containsString="0" containsNumber="1" containsInteger="1" minValue="0" maxValue="8"/>
    </cacheField>
    <cacheField name="Averge Before Gain Adjustment" numFmtId="0">
      <sharedItems containsSemiMixedTypes="0" containsString="0" containsNumber="1" minValue="3.7666666666666662" maxValue="38.938571428571429"/>
    </cacheField>
    <cacheField name="Average After Gain Adjustment" numFmtId="0">
      <sharedItems containsSemiMixedTypes="0" containsString="0" containsNumber="1" minValue="3.7666666666666662" maxValue="46.938571428571429"/>
    </cacheField>
    <cacheField name="Std" numFmtId="0">
      <sharedItems containsSemiMixedTypes="0" containsString="0" containsNumber="1" minValue="0.12746459203332591" maxValue="0.52670094825136682"/>
    </cacheField>
    <cacheField name="Frame 1" numFmtId="0">
      <sharedItems containsSemiMixedTypes="0" containsString="0" containsNumber="1" minValue="4.28" maxValue="39.61"/>
    </cacheField>
    <cacheField name="Frame 2" numFmtId="0">
      <sharedItems containsSemiMixedTypes="0" containsString="0" containsNumber="1" minValue="2.82" maxValue="39.29"/>
    </cacheField>
    <cacheField name="Frame 3" numFmtId="0">
      <sharedItems containsSemiMixedTypes="0" containsString="0" containsNumber="1" minValue="3.66" maxValue="39.19"/>
    </cacheField>
    <cacheField name="Frame 4" numFmtId="0">
      <sharedItems containsSemiMixedTypes="0" containsString="0" containsNumber="1" minValue="3.87" maxValue="38.72"/>
    </cacheField>
    <cacheField name="Frame 5" numFmtId="0">
      <sharedItems containsSemiMixedTypes="0" containsString="0" containsNumber="1" minValue="4.0999999999999996" maxValue="38.79"/>
    </cacheField>
    <cacheField name="Frame 6" numFmtId="0">
      <sharedItems containsString="0" containsBlank="1" containsNumber="1" minValue="3.87" maxValue="38.409999999999997"/>
    </cacheField>
    <cacheField name="Frame 7" numFmtId="0">
      <sharedItems containsString="0" containsBlank="1" containsNumber="1" minValue="21.66" maxValue="38.56"/>
    </cacheField>
    <cacheField name="Frame 8" numFmtId="0">
      <sharedItems containsNonDate="0" containsString="0" containsBlank="1"/>
    </cacheField>
    <cacheField name="Frame 9" numFmtId="0">
      <sharedItems containsNonDate="0" containsString="0" containsBlank="1"/>
    </cacheField>
    <cacheField name="Frame 10" numFmtId="0">
      <sharedItems containsNonDate="0" containsString="0" containsBlank="1"/>
    </cacheField>
    <cacheField name="Frame 11" numFmtId="0">
      <sharedItems containsNonDate="0" containsString="0" containsBlank="1"/>
    </cacheField>
    <cacheField name="Frame 12" numFmtId="0">
      <sharedItems containsNonDate="0" containsString="0" containsBlank="1"/>
    </cacheField>
    <cacheField name="Frame 13" numFmtId="0">
      <sharedItems containsNonDate="0" containsString="0" containsBlank="1"/>
    </cacheField>
    <cacheField name="Frame 14" numFmtId="0">
      <sharedItems containsNonDate="0" containsString="0" containsBlank="1"/>
    </cacheField>
    <cacheField name="Frame 15" numFmtId="0">
      <sharedItems containsNonDate="0" containsString="0" containsBlank="1"/>
    </cacheField>
    <cacheField name="Frame 16" numFmtId="0">
      <sharedItems containsNonDate="0" containsString="0" containsBlank="1"/>
    </cacheField>
    <cacheField name="Frame 17" numFmtId="0">
      <sharedItems containsNonDate="0" containsString="0" containsBlank="1"/>
    </cacheField>
    <cacheField name="Frame 18" numFmtId="0">
      <sharedItems containsNonDate="0" containsString="0" containsBlank="1"/>
    </cacheField>
    <cacheField name="Frame 19" numFmtId="0">
      <sharedItems containsNonDate="0" containsString="0" containsBlank="1"/>
    </cacheField>
    <cacheField name="Frame 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IM0001"/>
    <s v="00_74"/>
    <s v="ROI 1"/>
    <n v="0"/>
    <x v="0"/>
    <n v="74"/>
    <x v="0"/>
    <n v="3"/>
    <n v="0"/>
    <n v="3.7666666666666662"/>
    <n v="3.7666666666666662"/>
    <n v="0.46610680702555513"/>
    <n v="4.28"/>
    <n v="2.82"/>
    <n v="3.66"/>
    <n v="3.87"/>
    <n v="4.0999999999999996"/>
    <n v="3.87"/>
    <m/>
    <m/>
    <m/>
    <m/>
    <m/>
    <m/>
    <m/>
    <m/>
    <m/>
    <m/>
    <m/>
    <m/>
    <m/>
    <m/>
  </r>
  <r>
    <s v="IM0002"/>
    <s v="00_69"/>
    <s v="ROI 1"/>
    <n v="0"/>
    <x v="0"/>
    <n v="69"/>
    <x v="1"/>
    <n v="4"/>
    <n v="0"/>
    <n v="14.151666666666666"/>
    <n v="14.151666666666666"/>
    <n v="0.25660713595343049"/>
    <n v="14.22"/>
    <n v="13.82"/>
    <n v="14.31"/>
    <n v="13.87"/>
    <n v="14.12"/>
    <n v="14.57"/>
    <m/>
    <m/>
    <m/>
    <m/>
    <m/>
    <m/>
    <m/>
    <m/>
    <m/>
    <m/>
    <m/>
    <m/>
    <m/>
    <m/>
  </r>
  <r>
    <s v="IM0003"/>
    <s v="00_62"/>
    <s v="ROI 1"/>
    <n v="0"/>
    <x v="0"/>
    <n v="62"/>
    <x v="2"/>
    <n v="6"/>
    <n v="0"/>
    <n v="21.705714285714286"/>
    <n v="21.705714285714286"/>
    <n v="0.22012056065822236"/>
    <n v="21.8"/>
    <n v="21.24"/>
    <n v="21.92"/>
    <n v="21.89"/>
    <n v="21.59"/>
    <n v="21.84"/>
    <n v="21.66"/>
    <m/>
    <m/>
    <m/>
    <m/>
    <m/>
    <m/>
    <m/>
    <m/>
    <m/>
    <m/>
    <m/>
    <m/>
    <m/>
  </r>
  <r>
    <s v="IM0004"/>
    <s v="00_57"/>
    <s v="ROI 1"/>
    <n v="0"/>
    <x v="0"/>
    <n v="57"/>
    <x v="3"/>
    <n v="8"/>
    <n v="0"/>
    <n v="22.258333333333336"/>
    <n v="22.258333333333336"/>
    <n v="0.35352589092675474"/>
    <n v="22.73"/>
    <n v="22.26"/>
    <n v="22.48"/>
    <n v="22.37"/>
    <n v="22.12"/>
    <n v="21.59"/>
    <m/>
    <m/>
    <m/>
    <m/>
    <m/>
    <m/>
    <m/>
    <m/>
    <m/>
    <m/>
    <m/>
    <m/>
    <m/>
    <m/>
  </r>
  <r>
    <s v="IM0005"/>
    <s v="00_53"/>
    <s v="ROI 1"/>
    <n v="0"/>
    <x v="0"/>
    <n v="53"/>
    <x v="4"/>
    <n v="10"/>
    <n v="0"/>
    <n v="23.161999999999999"/>
    <n v="23.161999999999999"/>
    <n v="0.31996249780247737"/>
    <n v="23.51"/>
    <n v="22.66"/>
    <n v="22.97"/>
    <n v="23.48"/>
    <n v="23.19"/>
    <m/>
    <m/>
    <m/>
    <m/>
    <m/>
    <m/>
    <m/>
    <m/>
    <m/>
    <m/>
    <m/>
    <m/>
    <m/>
    <m/>
    <m/>
  </r>
  <r>
    <s v="IM0006"/>
    <s v="00_50"/>
    <s v="ROI 1"/>
    <n v="0"/>
    <x v="0"/>
    <n v="50"/>
    <x v="5"/>
    <n v="12"/>
    <n v="8"/>
    <n v="19.276666666666667"/>
    <n v="27.276666666666667"/>
    <n v="0.34422215049134813"/>
    <n v="19.899999999999999"/>
    <n v="19.27"/>
    <n v="18.850000000000001"/>
    <n v="19.440000000000001"/>
    <n v="19.260000000000002"/>
    <n v="18.940000000000001"/>
    <m/>
    <m/>
    <m/>
    <m/>
    <m/>
    <m/>
    <m/>
    <m/>
    <m/>
    <m/>
    <m/>
    <m/>
    <m/>
    <m/>
  </r>
  <r>
    <s v="IM0007"/>
    <s v="00_47"/>
    <s v="ROI 1"/>
    <n v="0"/>
    <x v="0"/>
    <n v="47"/>
    <x v="6"/>
    <n v="14"/>
    <n v="8"/>
    <n v="28.643333333333331"/>
    <n v="36.643333333333331"/>
    <n v="0.38269512089332408"/>
    <n v="29.26"/>
    <n v="28.63"/>
    <n v="28.27"/>
    <n v="28.09"/>
    <n v="28.79"/>
    <n v="28.82"/>
    <m/>
    <m/>
    <m/>
    <m/>
    <m/>
    <m/>
    <m/>
    <m/>
    <m/>
    <m/>
    <m/>
    <m/>
    <m/>
    <m/>
  </r>
  <r>
    <s v="IM0008"/>
    <s v="00_45"/>
    <s v="ROI 1"/>
    <n v="0"/>
    <x v="0"/>
    <n v="45"/>
    <x v="7"/>
    <n v="16"/>
    <n v="8"/>
    <n v="33.594999999999999"/>
    <n v="41.594999999999999"/>
    <n v="0.15798206649279259"/>
    <n v="33.630000000000003"/>
    <n v="33.380000000000003"/>
    <n v="33.549999999999997"/>
    <n v="33.51"/>
    <n v="33.6"/>
    <n v="33.9"/>
    <m/>
    <m/>
    <m/>
    <m/>
    <m/>
    <m/>
    <m/>
    <m/>
    <m/>
    <m/>
    <m/>
    <m/>
    <m/>
    <m/>
  </r>
  <r>
    <s v="IM0009"/>
    <s v="00_43"/>
    <s v="ROI 1"/>
    <n v="0"/>
    <x v="0"/>
    <n v="43"/>
    <x v="8"/>
    <n v="18"/>
    <n v="8"/>
    <n v="36.341666666666669"/>
    <n v="44.341666666666669"/>
    <n v="0.49914649374930087"/>
    <n v="37.299999999999997"/>
    <n v="35.840000000000003"/>
    <n v="36.56"/>
    <n v="36.130000000000003"/>
    <n v="36.36"/>
    <n v="35.86"/>
    <m/>
    <m/>
    <m/>
    <m/>
    <m/>
    <m/>
    <m/>
    <m/>
    <m/>
    <m/>
    <m/>
    <m/>
    <m/>
    <m/>
  </r>
  <r>
    <s v="IM0010"/>
    <s v="00_41"/>
    <s v="ROI 1"/>
    <n v="0"/>
    <x v="0"/>
    <n v="41"/>
    <x v="9"/>
    <n v="20"/>
    <n v="8"/>
    <n v="38.448333333333331"/>
    <n v="46.448333333333331"/>
    <n v="0.46531052952720486"/>
    <n v="39.25"/>
    <n v="38.200000000000003"/>
    <n v="38.51"/>
    <n v="38.409999999999997"/>
    <n v="38.619999999999997"/>
    <n v="37.700000000000003"/>
    <m/>
    <m/>
    <m/>
    <m/>
    <m/>
    <m/>
    <m/>
    <m/>
    <m/>
    <m/>
    <m/>
    <m/>
    <m/>
    <m/>
  </r>
  <r>
    <s v="IM0011"/>
    <s v="04_74"/>
    <s v="ROI 1"/>
    <n v="0.4"/>
    <x v="1"/>
    <n v="74"/>
    <x v="0"/>
    <n v="3"/>
    <n v="0"/>
    <n v="6.8116666666666674"/>
    <n v="6.8116666666666674"/>
    <n v="0.52670094825136682"/>
    <n v="7.63"/>
    <n v="5.89"/>
    <n v="6.75"/>
    <n v="7"/>
    <n v="6.57"/>
    <n v="7.03"/>
    <m/>
    <m/>
    <m/>
    <m/>
    <m/>
    <m/>
    <m/>
    <m/>
    <m/>
    <m/>
    <m/>
    <m/>
    <m/>
    <m/>
  </r>
  <r>
    <s v="IM0012"/>
    <s v="04_69"/>
    <s v="ROI 1"/>
    <n v="0.4"/>
    <x v="1"/>
    <n v="69"/>
    <x v="1"/>
    <n v="4"/>
    <n v="0"/>
    <n v="17.821666666666665"/>
    <n v="17.821666666666665"/>
    <n v="0.28115337846489152"/>
    <n v="17.73"/>
    <n v="17.54"/>
    <n v="17.89"/>
    <n v="17.8"/>
    <n v="17.579999999999998"/>
    <n v="18.39"/>
    <m/>
    <m/>
    <m/>
    <m/>
    <m/>
    <m/>
    <m/>
    <m/>
    <m/>
    <m/>
    <m/>
    <m/>
    <m/>
    <m/>
  </r>
  <r>
    <s v="IM0013"/>
    <s v="04_62"/>
    <s v="ROI 1"/>
    <n v="0.4"/>
    <x v="1"/>
    <n v="62"/>
    <x v="2"/>
    <n v="6"/>
    <n v="0"/>
    <n v="24.116666666666664"/>
    <n v="24.116666666666664"/>
    <n v="0.30695638488590271"/>
    <n v="24.04"/>
    <n v="23.81"/>
    <n v="24.43"/>
    <n v="24.28"/>
    <n v="23.66"/>
    <n v="24.48"/>
    <m/>
    <m/>
    <m/>
    <m/>
    <m/>
    <m/>
    <m/>
    <m/>
    <m/>
    <m/>
    <m/>
    <m/>
    <m/>
    <m/>
  </r>
  <r>
    <s v="IM0014"/>
    <s v="04_57"/>
    <s v="ROI 1"/>
    <n v="0.4"/>
    <x v="1"/>
    <n v="57"/>
    <x v="3"/>
    <n v="8"/>
    <n v="0"/>
    <n v="24.121666666666666"/>
    <n v="24.121666666666666"/>
    <n v="0.12746459203332591"/>
    <n v="23.86"/>
    <n v="24.2"/>
    <n v="24.27"/>
    <n v="24.13"/>
    <n v="24.15"/>
    <n v="24.12"/>
    <m/>
    <m/>
    <m/>
    <m/>
    <m/>
    <m/>
    <m/>
    <m/>
    <m/>
    <m/>
    <m/>
    <m/>
    <m/>
    <m/>
  </r>
  <r>
    <s v="IM0015"/>
    <s v="04_53"/>
    <s v="ROI 1"/>
    <n v="0.4"/>
    <x v="1"/>
    <n v="53"/>
    <x v="4"/>
    <n v="10"/>
    <n v="0"/>
    <n v="24.66"/>
    <n v="24.66"/>
    <n v="0.31128764832546746"/>
    <n v="25.14"/>
    <n v="24.86"/>
    <n v="24.51"/>
    <n v="24.14"/>
    <n v="24.56"/>
    <n v="24.75"/>
    <m/>
    <m/>
    <m/>
    <m/>
    <m/>
    <m/>
    <m/>
    <m/>
    <m/>
    <m/>
    <m/>
    <m/>
    <m/>
    <m/>
  </r>
  <r>
    <s v="IM0016"/>
    <s v="04_50"/>
    <s v="ROI 1"/>
    <n v="0.4"/>
    <x v="1"/>
    <n v="50"/>
    <x v="5"/>
    <n v="12"/>
    <n v="8"/>
    <n v="19.903333333333332"/>
    <n v="27.903333333333332"/>
    <n v="0.36768041678730878"/>
    <n v="19.989999999999998"/>
    <n v="20.46"/>
    <n v="20.11"/>
    <n v="19.68"/>
    <n v="19.91"/>
    <n v="19.27"/>
    <m/>
    <m/>
    <m/>
    <m/>
    <m/>
    <m/>
    <m/>
    <m/>
    <m/>
    <m/>
    <m/>
    <m/>
    <m/>
    <m/>
  </r>
  <r>
    <s v="IM0017"/>
    <s v="04_47"/>
    <s v="ROI 1"/>
    <n v="0.4"/>
    <x v="1"/>
    <n v="47"/>
    <x v="6"/>
    <n v="14"/>
    <n v="8"/>
    <n v="28.656666666666666"/>
    <n v="36.656666666666666"/>
    <n v="0.45301459382918591"/>
    <n v="28.98"/>
    <n v="28.82"/>
    <n v="28.43"/>
    <n v="28.52"/>
    <n v="27.88"/>
    <n v="29.31"/>
    <m/>
    <m/>
    <m/>
    <m/>
    <m/>
    <m/>
    <m/>
    <m/>
    <m/>
    <m/>
    <m/>
    <m/>
    <m/>
    <m/>
  </r>
  <r>
    <s v="IM0018"/>
    <s v="04_45"/>
    <s v="ROI 1"/>
    <n v="0.4"/>
    <x v="1"/>
    <n v="45"/>
    <x v="7"/>
    <n v="16"/>
    <n v="8"/>
    <n v="34.023333333333333"/>
    <n v="42.023333333333333"/>
    <n v="0.34974593953643296"/>
    <n v="34.61"/>
    <n v="33.5"/>
    <n v="34.06"/>
    <n v="33.79"/>
    <n v="33.93"/>
    <n v="34.25"/>
    <m/>
    <m/>
    <m/>
    <m/>
    <m/>
    <m/>
    <m/>
    <m/>
    <m/>
    <m/>
    <m/>
    <m/>
    <m/>
    <m/>
  </r>
  <r>
    <s v="IM0019"/>
    <s v="04_43"/>
    <s v="ROI 1"/>
    <n v="0.4"/>
    <x v="1"/>
    <n v="43"/>
    <x v="8"/>
    <n v="18"/>
    <n v="8"/>
    <n v="37.664999999999999"/>
    <n v="45.664999999999999"/>
    <n v="0.49005952019457261"/>
    <n v="38.21"/>
    <n v="37.68"/>
    <n v="37.85"/>
    <n v="38.200000000000003"/>
    <n v="36.979999999999997"/>
    <n v="37.07"/>
    <m/>
    <m/>
    <m/>
    <m/>
    <m/>
    <m/>
    <m/>
    <m/>
    <m/>
    <m/>
    <m/>
    <m/>
    <m/>
    <m/>
  </r>
  <r>
    <s v="IM0020"/>
    <s v="04_41"/>
    <s v="ROI 1"/>
    <n v="0.4"/>
    <x v="1"/>
    <n v="41"/>
    <x v="9"/>
    <n v="20"/>
    <n v="8"/>
    <n v="38.938571428571429"/>
    <n v="46.938571428571429"/>
    <n v="0.40179698396893254"/>
    <n v="39.61"/>
    <n v="39.29"/>
    <n v="39.19"/>
    <n v="38.72"/>
    <n v="38.79"/>
    <n v="38.409999999999997"/>
    <n v="38.56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2C05D-C5DB-44D1-AF5A-66C4A1E3BE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H3:AK15" firstHeaderRow="1" firstDataRow="2" firstDataCol="1"/>
  <pivotFields count="3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Average After Gain Adjustment" fld="10" baseField="0" baseItem="0"/>
  </dataFields>
  <chartFormats count="22">
    <chartFormat chart="0" format="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6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6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6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5FC29D-7184-4118-9BD8-0B78A6E12610}" name="VoltageToPressureConversion" displayName="VoltageToPressureConversion" ref="A1:C13" totalsRowShown="0">
  <autoFilter ref="A1:C13" xr:uid="{F65FC29D-7184-4118-9BD8-0B78A6E12610}"/>
  <tableColumns count="3">
    <tableColumn id="1" xr3:uid="{C25B7D4C-DBD9-4E72-BCD0-98863D6F3F8C}" name="Atten"/>
    <tableColumn id="2" xr3:uid="{A6D3761B-F0DC-4E95-87AB-6EC66D7F204E}" name="Mpa"/>
    <tableColumn id="3" xr3:uid="{3212811F-7F72-4AC5-97D6-6E799E21FDD1}" name="kPa">
      <calculatedColumnFormula>B2*1000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B4B633-6469-4057-8FC8-494368557DE7}" name="Table2" displayName="Table2" ref="A1:AF22" totalsRowShown="0">
  <autoFilter ref="A1:AF22" xr:uid="{47B4B633-6469-4057-8FC8-494368557DE7}"/>
  <tableColumns count="32">
    <tableColumn id="1" xr3:uid="{9C963849-7C1B-41A7-8626-DE8413E288D5}" name="DICOM File Name"/>
    <tableColumn id="2" xr3:uid="{C0272229-FBE3-44C4-8D3D-CBE9EA466729}" name="Excel File Source Name" dataDxfId="5">
      <calculatedColumnFormula>SUBSTITUTE(TEXT(Table2[[#This Row],[PSI]],"0.0"),".","")&amp;"_"&amp;TEXT(Table2[[#This Row],[Atten]],"0")</calculatedColumnFormula>
    </tableColumn>
    <tableColumn id="3" xr3:uid="{22B317AA-084A-4088-9180-41FCB3443BDD}" name="ROI Name"/>
    <tableColumn id="4" xr3:uid="{DDCD4382-5A22-478B-AE0B-6F804D505D26}" name="PSI" dataDxfId="4"/>
    <tableColumn id="5" xr3:uid="{2DFD0620-4994-4FD1-8C0E-92A3FBFADD17}" name="mmHg" dataDxfId="3">
      <calculatedColumnFormula>Table2[[#This Row],[PSI]]*50</calculatedColumnFormula>
    </tableColumn>
    <tableColumn id="6" xr3:uid="{117CA91F-A5B6-4BA4-A298-6A14A131F747}" name="Atten"/>
    <tableColumn id="7" xr3:uid="{6C6123B9-6F89-4E66-AF73-5A6DA4568561}" name="kPa" dataDxfId="0"/>
    <tableColumn id="8" xr3:uid="{4D4B92F6-58D7-4FE1-98C9-B224BE22EF5B}" name="Voltage"/>
    <tableColumn id="9" xr3:uid="{65D2D150-AD48-4F72-8E46-A046B35544FF}" name="Decibel Gain Adjustment"/>
    <tableColumn id="10" xr3:uid="{2919DF83-30D7-49CA-94B7-EEBF51736587}" name="Averge Before Gain Adjustment">
      <calculatedColumnFormula>AVERAGE(Table2[[#This Row],[Frame 1]:[Frame 20]])</calculatedColumnFormula>
    </tableColumn>
    <tableColumn id="11" xr3:uid="{172E9799-F5A8-4040-98E9-9A73367CD51A}" name="Average After Gain Adjustment" dataDxfId="2">
      <calculatedColumnFormula>Table2[[#This Row],[Averge Before Gain Adjustment]]+Table2[[#This Row],[Decibel Gain Adjustment]]</calculatedColumnFormula>
    </tableColumn>
    <tableColumn id="12" xr3:uid="{10839498-134D-4D37-82FB-DB26304423D7}" name="Std" dataDxfId="1">
      <calculatedColumnFormula>_xlfn.STDEV.P(Table2[[#This Row],[Frame 1]:[Frame 20]])</calculatedColumnFormula>
    </tableColumn>
    <tableColumn id="13" xr3:uid="{E7667E44-426B-42A7-84C6-868F81A559EE}" name="Frame 1"/>
    <tableColumn id="14" xr3:uid="{E6906A90-8EC6-42EE-9F1A-523CB067DC0D}" name="Frame 2"/>
    <tableColumn id="15" xr3:uid="{48ADB7D4-87FA-4502-AA9A-9E06680053A7}" name="Frame 3"/>
    <tableColumn id="16" xr3:uid="{D6555454-8AB9-453A-A911-58B4C162B674}" name="Frame 4"/>
    <tableColumn id="17" xr3:uid="{5A21348C-2D27-4F17-9D9A-ED5021146B7F}" name="Frame 5"/>
    <tableColumn id="18" xr3:uid="{1048C529-A487-4E5E-85AC-F4DA123D99C2}" name="Frame 6"/>
    <tableColumn id="19" xr3:uid="{0AF7822E-2038-4369-A0AB-99DD2ADDCE6B}" name="Frame 7"/>
    <tableColumn id="20" xr3:uid="{2E4E3A4F-1CC0-41B1-A762-F004F9D9A3F7}" name="Frame 8"/>
    <tableColumn id="21" xr3:uid="{DC2E42AE-EC81-4CB5-B11E-536292DB6B4E}" name="Frame 9"/>
    <tableColumn id="22" xr3:uid="{BA6BBFAA-B9D1-4EE8-954B-F7D42F20DEB0}" name="Frame 10"/>
    <tableColumn id="23" xr3:uid="{29687329-BB6E-4B2F-82EA-65ED63234776}" name="Frame 11"/>
    <tableColumn id="24" xr3:uid="{B39F9E44-6CE1-498A-8280-F94DED89B6EF}" name="Frame 12"/>
    <tableColumn id="25" xr3:uid="{629A27C8-A862-4751-B038-D98111806F3F}" name="Frame 13"/>
    <tableColumn id="26" xr3:uid="{70153F36-4254-4DB2-BDF1-5FA13043657C}" name="Frame 14"/>
    <tableColumn id="27" xr3:uid="{E47C8B1D-6AA3-47C2-B6E2-54FB1BC2CC4E}" name="Frame 15"/>
    <tableColumn id="28" xr3:uid="{6396A2FC-C47B-49DB-8D00-B7A35C73F9C1}" name="Frame 16"/>
    <tableColumn id="29" xr3:uid="{6A6792B3-0347-4D9C-85D0-49EB5BB9F376}" name="Frame 17"/>
    <tableColumn id="30" xr3:uid="{A9F0C5F1-690F-495C-AD94-EE28F1CF4F70}" name="Frame 18"/>
    <tableColumn id="31" xr3:uid="{085DC48B-220D-469F-84CB-98FC43E493E6}" name="Frame 19"/>
    <tableColumn id="32" xr3:uid="{E8DE0744-C8A8-4F6F-A1E9-7158C5C9F7AD}" name="Frame 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4937-8C6E-4E16-840E-0D7A6D69A687}">
  <dimension ref="B1:Y75"/>
  <sheetViews>
    <sheetView topLeftCell="E1" workbookViewId="0">
      <selection activeCell="T8" sqref="T8"/>
    </sheetView>
  </sheetViews>
  <sheetFormatPr defaultRowHeight="14.35" x14ac:dyDescent="0.5"/>
  <sheetData>
    <row r="1" spans="2:25" x14ac:dyDescent="0.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25" x14ac:dyDescent="0.5">
      <c r="B2" t="s">
        <v>1</v>
      </c>
      <c r="C2">
        <v>74</v>
      </c>
      <c r="D2">
        <v>69</v>
      </c>
      <c r="E2">
        <v>62</v>
      </c>
      <c r="F2">
        <v>57</v>
      </c>
      <c r="G2">
        <v>53</v>
      </c>
      <c r="H2">
        <v>50</v>
      </c>
      <c r="I2">
        <v>47</v>
      </c>
      <c r="J2">
        <v>45</v>
      </c>
      <c r="K2">
        <v>43</v>
      </c>
      <c r="L2">
        <v>41</v>
      </c>
    </row>
    <row r="3" spans="2:25" x14ac:dyDescent="0.5">
      <c r="B3" t="s">
        <v>2</v>
      </c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>
        <v>73</v>
      </c>
      <c r="Q3">
        <v>120</v>
      </c>
      <c r="R3">
        <v>164</v>
      </c>
      <c r="S3">
        <v>256</v>
      </c>
      <c r="T3">
        <v>353</v>
      </c>
      <c r="U3">
        <v>427</v>
      </c>
      <c r="V3">
        <v>522</v>
      </c>
      <c r="W3">
        <v>586</v>
      </c>
      <c r="X3">
        <v>638</v>
      </c>
      <c r="Y3">
        <v>705</v>
      </c>
    </row>
    <row r="4" spans="2:25" x14ac:dyDescent="0.5">
      <c r="B4" t="s">
        <v>3</v>
      </c>
      <c r="C4">
        <v>3</v>
      </c>
      <c r="D4">
        <v>4</v>
      </c>
      <c r="E4">
        <v>6</v>
      </c>
      <c r="F4">
        <v>8</v>
      </c>
      <c r="G4">
        <v>10</v>
      </c>
      <c r="H4">
        <v>12</v>
      </c>
      <c r="I4">
        <v>14</v>
      </c>
      <c r="J4">
        <v>16</v>
      </c>
      <c r="K4">
        <v>18</v>
      </c>
      <c r="L4">
        <v>20</v>
      </c>
      <c r="O4" t="s">
        <v>8</v>
      </c>
      <c r="P4">
        <v>6.666666666666667</v>
      </c>
      <c r="Q4">
        <v>16.903333333333332</v>
      </c>
      <c r="R4">
        <v>23.358333333333334</v>
      </c>
      <c r="S4">
        <v>24.302</v>
      </c>
      <c r="T4">
        <v>24.735999999999997</v>
      </c>
      <c r="U4">
        <v>28.77</v>
      </c>
      <c r="V4">
        <v>37.86</v>
      </c>
      <c r="W4">
        <v>42.963999999999999</v>
      </c>
      <c r="X4">
        <v>45.822000000000003</v>
      </c>
      <c r="Y4">
        <v>47.499999999999993</v>
      </c>
    </row>
    <row r="5" spans="2:25" x14ac:dyDescent="0.5">
      <c r="C5">
        <v>7.95</v>
      </c>
      <c r="D5">
        <v>17.25</v>
      </c>
      <c r="E5">
        <v>23.65</v>
      </c>
      <c r="F5">
        <v>25.19</v>
      </c>
      <c r="G5">
        <v>24.7</v>
      </c>
      <c r="H5">
        <v>21.17</v>
      </c>
      <c r="I5">
        <v>30.36</v>
      </c>
      <c r="J5">
        <v>35.03</v>
      </c>
      <c r="K5">
        <v>38.06</v>
      </c>
      <c r="L5">
        <v>39.44</v>
      </c>
      <c r="O5" t="s">
        <v>9</v>
      </c>
      <c r="P5">
        <v>10.305999999999999</v>
      </c>
      <c r="Q5">
        <v>22.709999999999997</v>
      </c>
      <c r="R5">
        <v>27.486000000000001</v>
      </c>
      <c r="S5">
        <v>27.936</v>
      </c>
      <c r="T5" t="e">
        <f>NA()</f>
        <v>#N/A</v>
      </c>
      <c r="U5">
        <v>29.634</v>
      </c>
      <c r="V5" t="e">
        <f>NA()</f>
        <v>#N/A</v>
      </c>
      <c r="W5">
        <v>41.837999999999994</v>
      </c>
      <c r="X5">
        <v>45.316666666666663</v>
      </c>
      <c r="Y5">
        <v>46.970000000000006</v>
      </c>
    </row>
    <row r="6" spans="2:25" x14ac:dyDescent="0.5">
      <c r="C6">
        <v>7.79</v>
      </c>
      <c r="D6">
        <v>15.88</v>
      </c>
      <c r="E6">
        <v>23.03</v>
      </c>
      <c r="F6">
        <v>23.54</v>
      </c>
      <c r="G6">
        <v>24.6</v>
      </c>
      <c r="H6">
        <v>20.95</v>
      </c>
      <c r="I6">
        <v>30.03</v>
      </c>
      <c r="J6">
        <v>35.450000000000003</v>
      </c>
      <c r="K6">
        <v>37.869999999999997</v>
      </c>
      <c r="L6">
        <v>39.39</v>
      </c>
      <c r="O6" t="s">
        <v>10</v>
      </c>
      <c r="P6">
        <v>15.806666666666665</v>
      </c>
      <c r="Q6">
        <v>26.853333333333335</v>
      </c>
      <c r="R6">
        <v>30.384999999999994</v>
      </c>
      <c r="S6">
        <v>30.721666666666668</v>
      </c>
      <c r="T6">
        <v>30.328333333333333</v>
      </c>
      <c r="U6">
        <v>31.25</v>
      </c>
      <c r="V6">
        <v>36.408000000000001</v>
      </c>
      <c r="W6">
        <v>41.343333333333334</v>
      </c>
      <c r="X6">
        <v>45.036000000000001</v>
      </c>
      <c r="Y6">
        <v>47.134</v>
      </c>
    </row>
    <row r="7" spans="2:25" x14ac:dyDescent="0.5">
      <c r="C7">
        <v>7.56</v>
      </c>
      <c r="D7">
        <v>16.399999999999999</v>
      </c>
      <c r="E7">
        <v>23.23</v>
      </c>
      <c r="F7">
        <v>23.91</v>
      </c>
      <c r="G7">
        <v>24.55</v>
      </c>
      <c r="H7">
        <v>21.19</v>
      </c>
      <c r="I7">
        <v>29.32</v>
      </c>
      <c r="J7">
        <v>34.44</v>
      </c>
      <c r="K7">
        <v>37.549999999999997</v>
      </c>
      <c r="L7">
        <v>39.409999999999997</v>
      </c>
      <c r="O7" t="s">
        <v>11</v>
      </c>
      <c r="P7">
        <v>22.6</v>
      </c>
      <c r="Q7">
        <v>29.526</v>
      </c>
      <c r="R7">
        <v>33.24</v>
      </c>
      <c r="S7">
        <v>32.768000000000001</v>
      </c>
      <c r="T7">
        <v>32.435999999999993</v>
      </c>
      <c r="U7">
        <v>32.463999999999999</v>
      </c>
      <c r="V7">
        <v>36.736000000000004</v>
      </c>
      <c r="W7">
        <v>42.468333333333334</v>
      </c>
      <c r="X7">
        <v>45.667999999999999</v>
      </c>
      <c r="Y7">
        <v>47.44166666666667</v>
      </c>
    </row>
    <row r="8" spans="2:25" x14ac:dyDescent="0.5">
      <c r="C8">
        <v>6.1</v>
      </c>
      <c r="D8">
        <v>16.8</v>
      </c>
      <c r="E8">
        <v>23.13</v>
      </c>
      <c r="F8">
        <v>24.62</v>
      </c>
      <c r="G8">
        <v>25.2</v>
      </c>
      <c r="H8">
        <v>20.88</v>
      </c>
      <c r="I8">
        <v>30.09</v>
      </c>
      <c r="J8">
        <v>34.83</v>
      </c>
      <c r="K8">
        <v>37.92</v>
      </c>
      <c r="L8">
        <v>39.47</v>
      </c>
      <c r="O8" t="s">
        <v>12</v>
      </c>
      <c r="P8">
        <v>21.630000000000003</v>
      </c>
      <c r="Q8">
        <v>28.681666666666668</v>
      </c>
      <c r="R8">
        <v>32.454999999999998</v>
      </c>
      <c r="S8">
        <v>31.757999999999999</v>
      </c>
      <c r="T8">
        <v>31.14</v>
      </c>
      <c r="U8">
        <v>31.248333333333335</v>
      </c>
      <c r="V8">
        <v>35.924999999999997</v>
      </c>
      <c r="W8">
        <v>41.68666666666666</v>
      </c>
      <c r="X8">
        <v>45.38666666666667</v>
      </c>
      <c r="Y8">
        <v>47.661666666666669</v>
      </c>
    </row>
    <row r="9" spans="2:25" x14ac:dyDescent="0.5">
      <c r="C9">
        <v>5.47</v>
      </c>
      <c r="D9">
        <v>17.43</v>
      </c>
      <c r="E9">
        <v>23.45</v>
      </c>
      <c r="F9">
        <v>24.25</v>
      </c>
      <c r="G9">
        <v>24.63</v>
      </c>
      <c r="H9">
        <v>20.74</v>
      </c>
      <c r="I9">
        <v>29.5</v>
      </c>
      <c r="J9">
        <v>35.07</v>
      </c>
      <c r="K9">
        <v>37.71</v>
      </c>
      <c r="L9">
        <v>39.57</v>
      </c>
    </row>
    <row r="10" spans="2:25" x14ac:dyDescent="0.5">
      <c r="C10">
        <v>5.13</v>
      </c>
      <c r="D10">
        <v>17.66</v>
      </c>
      <c r="E10">
        <v>23.66</v>
      </c>
      <c r="H10">
        <v>19.690000000000001</v>
      </c>
      <c r="L10">
        <v>39.72</v>
      </c>
    </row>
    <row r="12" spans="2:25" x14ac:dyDescent="0.5">
      <c r="C12">
        <f>AVERAGE(C5:C10)</f>
        <v>6.666666666666667</v>
      </c>
      <c r="D12">
        <f t="shared" ref="D12:L12" si="0">AVERAGE(D5:D10)</f>
        <v>16.903333333333332</v>
      </c>
      <c r="E12">
        <f t="shared" si="0"/>
        <v>23.358333333333334</v>
      </c>
      <c r="F12">
        <f t="shared" si="0"/>
        <v>24.302</v>
      </c>
      <c r="G12">
        <f t="shared" si="0"/>
        <v>24.735999999999997</v>
      </c>
      <c r="H12">
        <f t="shared" si="0"/>
        <v>20.77</v>
      </c>
      <c r="I12">
        <f t="shared" si="0"/>
        <v>29.860000000000003</v>
      </c>
      <c r="J12">
        <f t="shared" si="0"/>
        <v>34.963999999999999</v>
      </c>
      <c r="K12">
        <f t="shared" si="0"/>
        <v>37.822000000000003</v>
      </c>
      <c r="L12">
        <f t="shared" si="0"/>
        <v>39.499999999999993</v>
      </c>
    </row>
    <row r="13" spans="2:25" x14ac:dyDescent="0.5">
      <c r="C13">
        <f>C12</f>
        <v>6.666666666666667</v>
      </c>
      <c r="D13">
        <f t="shared" ref="D13:G13" si="1">D12</f>
        <v>16.903333333333332</v>
      </c>
      <c r="E13">
        <f t="shared" si="1"/>
        <v>23.358333333333334</v>
      </c>
      <c r="F13">
        <f t="shared" si="1"/>
        <v>24.302</v>
      </c>
      <c r="G13">
        <f t="shared" si="1"/>
        <v>24.735999999999997</v>
      </c>
      <c r="H13">
        <f>H12+8</f>
        <v>28.77</v>
      </c>
      <c r="I13">
        <f t="shared" ref="I13:L13" si="2">I12+8</f>
        <v>37.86</v>
      </c>
      <c r="J13">
        <f t="shared" si="2"/>
        <v>42.963999999999999</v>
      </c>
      <c r="K13">
        <f t="shared" si="2"/>
        <v>45.822000000000003</v>
      </c>
      <c r="L13">
        <f t="shared" si="2"/>
        <v>47.499999999999993</v>
      </c>
    </row>
    <row r="14" spans="2:25" x14ac:dyDescent="0.5">
      <c r="C14">
        <f>_xlfn.STDEV.P(L5:L9)</f>
        <v>6.3118935352238545E-2</v>
      </c>
      <c r="D14">
        <f t="shared" ref="D14:K14" si="3">_xlfn.STDEV.P(D5:D9)</f>
        <v>0.56467335690645071</v>
      </c>
      <c r="E14">
        <f t="shared" si="3"/>
        <v>0.22435685859808185</v>
      </c>
      <c r="F14">
        <f t="shared" si="3"/>
        <v>0.57038232791698662</v>
      </c>
      <c r="G14">
        <f t="shared" si="3"/>
        <v>0.23703164345715488</v>
      </c>
      <c r="H14">
        <f t="shared" si="3"/>
        <v>0.17234848418248544</v>
      </c>
      <c r="I14">
        <f t="shared" si="3"/>
        <v>0.38807215823864499</v>
      </c>
      <c r="J14">
        <f t="shared" si="3"/>
        <v>0.32994545003682224</v>
      </c>
      <c r="K14">
        <f t="shared" si="3"/>
        <v>0.17611359970201196</v>
      </c>
      <c r="L14" t="e">
        <f>_xlfn.STDEV.P(#REF!)</f>
        <v>#REF!</v>
      </c>
    </row>
    <row r="16" spans="2:25" x14ac:dyDescent="0.5">
      <c r="B16" s="5" t="s">
        <v>4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5">
      <c r="B17" t="s">
        <v>1</v>
      </c>
      <c r="C17">
        <v>74</v>
      </c>
      <c r="D17">
        <v>69</v>
      </c>
      <c r="E17">
        <v>62</v>
      </c>
      <c r="F17">
        <v>57</v>
      </c>
      <c r="G17">
        <v>53</v>
      </c>
      <c r="H17">
        <v>50</v>
      </c>
      <c r="I17">
        <v>47</v>
      </c>
      <c r="J17">
        <v>45</v>
      </c>
      <c r="K17">
        <v>43</v>
      </c>
      <c r="L17">
        <v>41</v>
      </c>
    </row>
    <row r="18" spans="2:12" x14ac:dyDescent="0.5">
      <c r="B18" t="s">
        <v>2</v>
      </c>
      <c r="C18">
        <v>73</v>
      </c>
      <c r="D18">
        <v>120</v>
      </c>
      <c r="E18">
        <v>164</v>
      </c>
      <c r="F18">
        <v>256</v>
      </c>
      <c r="G18">
        <v>353</v>
      </c>
      <c r="H18">
        <v>427</v>
      </c>
      <c r="I18">
        <v>522</v>
      </c>
      <c r="J18">
        <v>586</v>
      </c>
      <c r="K18">
        <v>638</v>
      </c>
      <c r="L18">
        <v>705</v>
      </c>
    </row>
    <row r="19" spans="2:12" x14ac:dyDescent="0.5">
      <c r="B19" t="s">
        <v>3</v>
      </c>
      <c r="C19">
        <v>3</v>
      </c>
      <c r="D19">
        <v>4</v>
      </c>
      <c r="E19">
        <v>6</v>
      </c>
      <c r="F19">
        <v>8</v>
      </c>
      <c r="G19">
        <v>10</v>
      </c>
      <c r="H19">
        <v>12</v>
      </c>
      <c r="I19">
        <v>14</v>
      </c>
      <c r="J19">
        <v>16</v>
      </c>
      <c r="K19">
        <v>18</v>
      </c>
      <c r="L19">
        <v>20</v>
      </c>
    </row>
    <row r="20" spans="2:12" x14ac:dyDescent="0.5">
      <c r="C20">
        <v>10.52</v>
      </c>
      <c r="D20">
        <v>22.57</v>
      </c>
      <c r="E20">
        <v>27.93</v>
      </c>
      <c r="F20">
        <v>28.62</v>
      </c>
      <c r="H20">
        <v>21.68</v>
      </c>
      <c r="J20">
        <v>34.76</v>
      </c>
      <c r="K20">
        <v>38.090000000000003</v>
      </c>
      <c r="L20">
        <v>39.729999999999997</v>
      </c>
    </row>
    <row r="21" spans="2:12" x14ac:dyDescent="0.5">
      <c r="C21">
        <v>10.27</v>
      </c>
      <c r="D21">
        <v>22.16</v>
      </c>
      <c r="E21">
        <v>27.11</v>
      </c>
      <c r="F21">
        <v>28.03</v>
      </c>
      <c r="H21">
        <v>21.28</v>
      </c>
      <c r="J21">
        <v>33.97</v>
      </c>
      <c r="K21">
        <v>37.380000000000003</v>
      </c>
      <c r="L21">
        <v>38.83</v>
      </c>
    </row>
    <row r="22" spans="2:12" x14ac:dyDescent="0.5">
      <c r="C22">
        <v>10.119999999999999</v>
      </c>
      <c r="D22">
        <v>22.51</v>
      </c>
      <c r="E22">
        <v>27.65</v>
      </c>
      <c r="F22">
        <v>27.57</v>
      </c>
      <c r="H22">
        <v>21.48</v>
      </c>
      <c r="J22">
        <v>33.18</v>
      </c>
      <c r="K22">
        <v>36.630000000000003</v>
      </c>
      <c r="L22">
        <v>38.79</v>
      </c>
    </row>
    <row r="23" spans="2:12" x14ac:dyDescent="0.5">
      <c r="C23">
        <v>10.19</v>
      </c>
      <c r="D23">
        <v>22.57</v>
      </c>
      <c r="E23">
        <v>27.53</v>
      </c>
      <c r="F23">
        <v>27.7</v>
      </c>
      <c r="H23">
        <v>21.92</v>
      </c>
      <c r="J23">
        <v>33.549999999999997</v>
      </c>
      <c r="K23">
        <v>37.56</v>
      </c>
      <c r="L23">
        <v>38.71</v>
      </c>
    </row>
    <row r="24" spans="2:12" x14ac:dyDescent="0.5">
      <c r="C24">
        <v>10.43</v>
      </c>
      <c r="D24">
        <v>23.09</v>
      </c>
      <c r="E24">
        <v>27.21</v>
      </c>
      <c r="F24">
        <v>27.76</v>
      </c>
      <c r="H24">
        <v>21.81</v>
      </c>
      <c r="J24">
        <v>33.729999999999997</v>
      </c>
      <c r="K24">
        <v>37.26</v>
      </c>
      <c r="L24">
        <v>38.67</v>
      </c>
    </row>
    <row r="25" spans="2:12" x14ac:dyDescent="0.5">
      <c r="D25">
        <v>23.36</v>
      </c>
      <c r="K25">
        <v>36.979999999999997</v>
      </c>
      <c r="L25">
        <v>39.090000000000003</v>
      </c>
    </row>
    <row r="27" spans="2:12" x14ac:dyDescent="0.5">
      <c r="C27">
        <f>AVERAGE(C20:C25)</f>
        <v>10.305999999999999</v>
      </c>
      <c r="D27">
        <f t="shared" ref="D27:L27" si="4">AVERAGE(D20:D25)</f>
        <v>22.709999999999997</v>
      </c>
      <c r="E27">
        <f>AVERAGE(E20:E25)</f>
        <v>27.486000000000001</v>
      </c>
      <c r="F27">
        <f>AVERAGE(F20:F25)</f>
        <v>27.936</v>
      </c>
      <c r="G27" t="e">
        <f t="shared" si="4"/>
        <v>#DIV/0!</v>
      </c>
      <c r="H27">
        <f t="shared" si="4"/>
        <v>21.634</v>
      </c>
      <c r="I27" t="e">
        <f t="shared" si="4"/>
        <v>#DIV/0!</v>
      </c>
      <c r="J27">
        <f t="shared" si="4"/>
        <v>33.837999999999994</v>
      </c>
      <c r="K27">
        <f t="shared" si="4"/>
        <v>37.316666666666663</v>
      </c>
      <c r="L27">
        <f t="shared" si="4"/>
        <v>38.970000000000006</v>
      </c>
    </row>
    <row r="28" spans="2:12" x14ac:dyDescent="0.5">
      <c r="C28">
        <f>C27</f>
        <v>10.305999999999999</v>
      </c>
      <c r="D28">
        <f t="shared" ref="D28:G28" si="5">D27</f>
        <v>22.709999999999997</v>
      </c>
      <c r="E28">
        <f t="shared" si="5"/>
        <v>27.486000000000001</v>
      </c>
      <c r="F28">
        <f t="shared" si="5"/>
        <v>27.936</v>
      </c>
      <c r="G28" t="e">
        <f t="shared" si="5"/>
        <v>#DIV/0!</v>
      </c>
      <c r="H28">
        <f>H27+8</f>
        <v>29.634</v>
      </c>
      <c r="I28" t="e">
        <f t="shared" ref="I28:L28" si="6">I27+8</f>
        <v>#DIV/0!</v>
      </c>
      <c r="J28">
        <f t="shared" si="6"/>
        <v>41.837999999999994</v>
      </c>
      <c r="K28">
        <f t="shared" si="6"/>
        <v>45.316666666666663</v>
      </c>
      <c r="L28">
        <f t="shared" si="6"/>
        <v>46.970000000000006</v>
      </c>
    </row>
    <row r="29" spans="2:12" x14ac:dyDescent="0.5">
      <c r="C29">
        <f>_xlfn.STDEV.P(C20:C25)</f>
        <v>0.14867414032036652</v>
      </c>
      <c r="D29">
        <f t="shared" ref="D29:L29" si="7">_xlfn.STDEV.P(D20:D25)</f>
        <v>0.39761790704142053</v>
      </c>
      <c r="E29">
        <f>_xlfn.STDEV.P(E20:E25)</f>
        <v>0.29783216750378033</v>
      </c>
      <c r="F29">
        <f>_xlfn.STDEV.P(F20:F25)</f>
        <v>0.37344879167029077</v>
      </c>
      <c r="G29" t="e">
        <f t="shared" si="7"/>
        <v>#DIV/0!</v>
      </c>
      <c r="H29">
        <f t="shared" si="7"/>
        <v>0.22974768769238987</v>
      </c>
      <c r="I29" t="e">
        <f t="shared" si="7"/>
        <v>#DIV/0!</v>
      </c>
      <c r="J29">
        <f t="shared" si="7"/>
        <v>0.52821965128154758</v>
      </c>
      <c r="K29">
        <f t="shared" si="7"/>
        <v>0.45631373223060373</v>
      </c>
      <c r="L29">
        <f t="shared" si="7"/>
        <v>0.36551333764994026</v>
      </c>
    </row>
    <row r="31" spans="2:12" x14ac:dyDescent="0.5">
      <c r="B31" s="5" t="s">
        <v>5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x14ac:dyDescent="0.5">
      <c r="B32" t="s">
        <v>1</v>
      </c>
      <c r="C32">
        <v>74</v>
      </c>
      <c r="D32">
        <v>69</v>
      </c>
      <c r="E32">
        <v>62</v>
      </c>
      <c r="F32">
        <v>57</v>
      </c>
      <c r="G32">
        <v>53</v>
      </c>
      <c r="H32">
        <v>50</v>
      </c>
      <c r="I32">
        <v>47</v>
      </c>
      <c r="J32">
        <v>45</v>
      </c>
      <c r="K32">
        <v>43</v>
      </c>
      <c r="L32">
        <v>41</v>
      </c>
    </row>
    <row r="33" spans="2:12" x14ac:dyDescent="0.5">
      <c r="B33" t="s">
        <v>2</v>
      </c>
      <c r="C33">
        <v>73</v>
      </c>
      <c r="D33">
        <v>120</v>
      </c>
      <c r="E33">
        <v>164</v>
      </c>
      <c r="F33">
        <v>256</v>
      </c>
      <c r="G33">
        <v>353</v>
      </c>
      <c r="H33">
        <v>427</v>
      </c>
      <c r="I33">
        <v>522</v>
      </c>
      <c r="J33">
        <v>586</v>
      </c>
      <c r="K33">
        <v>638</v>
      </c>
      <c r="L33">
        <v>705</v>
      </c>
    </row>
    <row r="34" spans="2:12" x14ac:dyDescent="0.5">
      <c r="B34" t="s">
        <v>3</v>
      </c>
      <c r="C34">
        <v>3</v>
      </c>
      <c r="D34">
        <v>4</v>
      </c>
      <c r="E34">
        <v>6</v>
      </c>
      <c r="F34">
        <v>8</v>
      </c>
      <c r="G34">
        <v>10</v>
      </c>
      <c r="H34">
        <v>12</v>
      </c>
      <c r="I34">
        <v>14</v>
      </c>
      <c r="J34">
        <v>16</v>
      </c>
      <c r="K34">
        <v>18</v>
      </c>
      <c r="L34">
        <v>20</v>
      </c>
    </row>
    <row r="35" spans="2:12" x14ac:dyDescent="0.5">
      <c r="C35">
        <v>15.6</v>
      </c>
      <c r="D35">
        <v>26.34</v>
      </c>
      <c r="E35">
        <v>30.63</v>
      </c>
      <c r="F35">
        <v>30.74</v>
      </c>
      <c r="G35">
        <v>30.29</v>
      </c>
      <c r="H35">
        <v>23.77</v>
      </c>
      <c r="I35">
        <v>28.06</v>
      </c>
      <c r="J35">
        <v>33.22</v>
      </c>
      <c r="K35">
        <v>37.61</v>
      </c>
      <c r="L35">
        <v>39.03</v>
      </c>
    </row>
    <row r="36" spans="2:12" x14ac:dyDescent="0.5">
      <c r="C36">
        <v>16.059999999999999</v>
      </c>
      <c r="D36">
        <v>26.39</v>
      </c>
      <c r="E36">
        <v>30.47</v>
      </c>
      <c r="F36">
        <v>30.67</v>
      </c>
      <c r="G36">
        <v>29.74</v>
      </c>
      <c r="H36">
        <v>22.86</v>
      </c>
      <c r="I36">
        <v>28.55</v>
      </c>
      <c r="J36">
        <v>33.4</v>
      </c>
      <c r="K36">
        <v>37.049999999999997</v>
      </c>
      <c r="L36">
        <v>38.96</v>
      </c>
    </row>
    <row r="37" spans="2:12" x14ac:dyDescent="0.5">
      <c r="C37">
        <v>15.61</v>
      </c>
      <c r="D37">
        <v>26.86</v>
      </c>
      <c r="E37">
        <v>30.67</v>
      </c>
      <c r="F37">
        <v>30.71</v>
      </c>
      <c r="G37">
        <v>30.05</v>
      </c>
      <c r="H37">
        <v>22.84</v>
      </c>
      <c r="I37">
        <v>28.43</v>
      </c>
      <c r="J37">
        <v>33.020000000000003</v>
      </c>
      <c r="K37">
        <v>36.82</v>
      </c>
      <c r="L37">
        <v>39.270000000000003</v>
      </c>
    </row>
    <row r="38" spans="2:12" x14ac:dyDescent="0.5">
      <c r="C38">
        <v>16.47</v>
      </c>
      <c r="D38">
        <v>27.47</v>
      </c>
      <c r="E38">
        <v>30.46</v>
      </c>
      <c r="F38">
        <v>30.71</v>
      </c>
      <c r="G38">
        <v>30.67</v>
      </c>
      <c r="H38">
        <v>23.11</v>
      </c>
      <c r="I38">
        <v>28.75</v>
      </c>
      <c r="J38">
        <v>33.32</v>
      </c>
      <c r="K38">
        <v>36.75</v>
      </c>
      <c r="L38">
        <v>39.44</v>
      </c>
    </row>
    <row r="39" spans="2:12" x14ac:dyDescent="0.5">
      <c r="C39">
        <v>15.24</v>
      </c>
      <c r="D39">
        <v>27.04</v>
      </c>
      <c r="E39">
        <v>30.07</v>
      </c>
      <c r="F39">
        <v>30.72</v>
      </c>
      <c r="G39">
        <v>30.37</v>
      </c>
      <c r="H39">
        <v>23.67</v>
      </c>
      <c r="I39">
        <v>28.25</v>
      </c>
      <c r="J39">
        <v>33.44</v>
      </c>
      <c r="K39">
        <v>36.950000000000003</v>
      </c>
      <c r="L39">
        <v>38.97</v>
      </c>
    </row>
    <row r="40" spans="2:12" x14ac:dyDescent="0.5">
      <c r="C40">
        <v>15.86</v>
      </c>
      <c r="D40">
        <v>27.02</v>
      </c>
      <c r="E40">
        <v>30.01</v>
      </c>
      <c r="F40">
        <v>30.78</v>
      </c>
      <c r="G40">
        <v>30.85</v>
      </c>
      <c r="J40">
        <v>33.659999999999997</v>
      </c>
    </row>
    <row r="41" spans="2:12" x14ac:dyDescent="0.5">
      <c r="E41">
        <v>30.09</v>
      </c>
    </row>
    <row r="43" spans="2:12" x14ac:dyDescent="0.5">
      <c r="C43">
        <f>AVERAGE(C35:C40)</f>
        <v>15.806666666666665</v>
      </c>
      <c r="D43">
        <f t="shared" ref="D43:L43" si="8">AVERAGE(D35:D40)</f>
        <v>26.853333333333335</v>
      </c>
      <c r="E43">
        <f t="shared" si="8"/>
        <v>30.384999999999994</v>
      </c>
      <c r="F43">
        <f t="shared" si="8"/>
        <v>30.721666666666668</v>
      </c>
      <c r="G43">
        <f t="shared" si="8"/>
        <v>30.328333333333333</v>
      </c>
      <c r="H43">
        <f t="shared" si="8"/>
        <v>23.25</v>
      </c>
      <c r="I43">
        <f t="shared" si="8"/>
        <v>28.407999999999998</v>
      </c>
      <c r="J43">
        <f t="shared" si="8"/>
        <v>33.343333333333334</v>
      </c>
      <c r="K43">
        <f t="shared" si="8"/>
        <v>37.036000000000001</v>
      </c>
      <c r="L43">
        <f t="shared" si="8"/>
        <v>39.134</v>
      </c>
    </row>
    <row r="44" spans="2:12" x14ac:dyDescent="0.5">
      <c r="C44">
        <f>C43</f>
        <v>15.806666666666665</v>
      </c>
      <c r="D44">
        <f t="shared" ref="D44:G44" si="9">D43</f>
        <v>26.853333333333335</v>
      </c>
      <c r="E44">
        <f t="shared" si="9"/>
        <v>30.384999999999994</v>
      </c>
      <c r="F44">
        <f t="shared" si="9"/>
        <v>30.721666666666668</v>
      </c>
      <c r="G44">
        <f t="shared" si="9"/>
        <v>30.328333333333333</v>
      </c>
      <c r="H44">
        <f>H43+8</f>
        <v>31.25</v>
      </c>
      <c r="I44">
        <f t="shared" ref="I44:L44" si="10">I43+8</f>
        <v>36.408000000000001</v>
      </c>
      <c r="J44">
        <f t="shared" si="10"/>
        <v>41.343333333333334</v>
      </c>
      <c r="K44">
        <f t="shared" si="10"/>
        <v>45.036000000000001</v>
      </c>
      <c r="L44">
        <f t="shared" si="10"/>
        <v>47.134</v>
      </c>
    </row>
    <row r="45" spans="2:12" x14ac:dyDescent="0.5">
      <c r="C45">
        <f>_xlfn.STDEV.P(C35:C40)</f>
        <v>0.38934417793115711</v>
      </c>
      <c r="D45">
        <f t="shared" ref="D45:L45" si="11">_xlfn.STDEV.P(D35:D40)</f>
        <v>0.39181911926579321</v>
      </c>
      <c r="E45">
        <f t="shared" si="11"/>
        <v>0.25623882089436251</v>
      </c>
      <c r="F45">
        <f t="shared" si="11"/>
        <v>3.3374973990834299E-2</v>
      </c>
      <c r="G45">
        <f t="shared" si="11"/>
        <v>0.36871021442621155</v>
      </c>
      <c r="H45">
        <f t="shared" si="11"/>
        <v>0.39663585314492228</v>
      </c>
      <c r="I45">
        <f t="shared" si="11"/>
        <v>0.23819319889535095</v>
      </c>
      <c r="J45">
        <f t="shared" si="11"/>
        <v>0.19711812589296501</v>
      </c>
      <c r="K45">
        <f t="shared" si="11"/>
        <v>0.3051294807126963</v>
      </c>
      <c r="L45">
        <f t="shared" si="11"/>
        <v>0.18979989462589239</v>
      </c>
    </row>
    <row r="47" spans="2:12" x14ac:dyDescent="0.5">
      <c r="B47" s="5" t="s">
        <v>6</v>
      </c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2:12" x14ac:dyDescent="0.5">
      <c r="B48" t="s">
        <v>1</v>
      </c>
      <c r="C48">
        <v>74</v>
      </c>
      <c r="D48">
        <v>69</v>
      </c>
      <c r="E48">
        <v>62</v>
      </c>
      <c r="F48">
        <v>57</v>
      </c>
      <c r="G48">
        <v>53</v>
      </c>
      <c r="H48">
        <v>50</v>
      </c>
      <c r="I48">
        <v>47</v>
      </c>
      <c r="J48">
        <v>45</v>
      </c>
      <c r="K48">
        <v>43</v>
      </c>
      <c r="L48">
        <v>41</v>
      </c>
    </row>
    <row r="49" spans="2:12" x14ac:dyDescent="0.5">
      <c r="B49" t="s">
        <v>2</v>
      </c>
      <c r="C49">
        <v>73</v>
      </c>
      <c r="D49">
        <v>120</v>
      </c>
      <c r="E49">
        <v>164</v>
      </c>
      <c r="F49">
        <v>256</v>
      </c>
      <c r="G49">
        <v>353</v>
      </c>
      <c r="H49">
        <v>427</v>
      </c>
      <c r="I49">
        <v>522</v>
      </c>
      <c r="J49">
        <v>586</v>
      </c>
      <c r="K49">
        <v>638</v>
      </c>
      <c r="L49">
        <v>705</v>
      </c>
    </row>
    <row r="50" spans="2:12" x14ac:dyDescent="0.5">
      <c r="B50" t="s">
        <v>3</v>
      </c>
      <c r="C50">
        <v>3</v>
      </c>
      <c r="D50">
        <v>4</v>
      </c>
      <c r="E50">
        <v>6</v>
      </c>
      <c r="F50">
        <v>8</v>
      </c>
      <c r="G50">
        <v>10</v>
      </c>
      <c r="H50">
        <v>12</v>
      </c>
      <c r="I50">
        <v>14</v>
      </c>
      <c r="J50">
        <v>16</v>
      </c>
      <c r="K50">
        <v>18</v>
      </c>
      <c r="L50">
        <v>20</v>
      </c>
    </row>
    <row r="51" spans="2:12" x14ac:dyDescent="0.5">
      <c r="C51">
        <v>22.96</v>
      </c>
      <c r="D51">
        <v>29.35</v>
      </c>
      <c r="E51">
        <v>33.44</v>
      </c>
      <c r="F51">
        <v>32.94</v>
      </c>
      <c r="G51">
        <v>33.29</v>
      </c>
      <c r="H51">
        <v>25.09</v>
      </c>
      <c r="I51">
        <v>28.91</v>
      </c>
      <c r="J51">
        <v>34.61</v>
      </c>
      <c r="K51">
        <v>38.44</v>
      </c>
      <c r="L51">
        <v>40.020000000000003</v>
      </c>
    </row>
    <row r="52" spans="2:12" x14ac:dyDescent="0.5">
      <c r="C52">
        <v>22.46</v>
      </c>
      <c r="D52">
        <v>29.04</v>
      </c>
      <c r="E52">
        <v>33.24</v>
      </c>
      <c r="F52">
        <v>32.619999999999997</v>
      </c>
      <c r="G52">
        <v>32.46</v>
      </c>
      <c r="H52">
        <v>24.22</v>
      </c>
      <c r="I52">
        <v>29.4</v>
      </c>
      <c r="J52">
        <v>34.659999999999997</v>
      </c>
      <c r="K52">
        <v>37.950000000000003</v>
      </c>
      <c r="L52">
        <v>38.93</v>
      </c>
    </row>
    <row r="53" spans="2:12" x14ac:dyDescent="0.5">
      <c r="C53">
        <v>22.89</v>
      </c>
      <c r="D53">
        <v>29.68</v>
      </c>
      <c r="E53">
        <v>33.630000000000003</v>
      </c>
      <c r="F53">
        <v>32.89</v>
      </c>
      <c r="G53">
        <v>32.369999999999997</v>
      </c>
      <c r="H53">
        <v>24.07</v>
      </c>
      <c r="I53">
        <v>28.39</v>
      </c>
      <c r="J53">
        <v>34.29</v>
      </c>
      <c r="K53">
        <v>37.01</v>
      </c>
      <c r="L53">
        <v>39.340000000000003</v>
      </c>
    </row>
    <row r="54" spans="2:12" x14ac:dyDescent="0.5">
      <c r="C54">
        <v>22.01</v>
      </c>
      <c r="D54">
        <v>29.95</v>
      </c>
      <c r="E54">
        <v>33.15</v>
      </c>
      <c r="F54">
        <v>32.61</v>
      </c>
      <c r="G54">
        <v>32.08</v>
      </c>
      <c r="H54">
        <v>24.43</v>
      </c>
      <c r="I54">
        <v>28.54</v>
      </c>
      <c r="J54">
        <v>34.69</v>
      </c>
      <c r="K54">
        <v>37.479999999999997</v>
      </c>
      <c r="L54">
        <v>39.549999999999997</v>
      </c>
    </row>
    <row r="55" spans="2:12" x14ac:dyDescent="0.5">
      <c r="C55">
        <v>22.68</v>
      </c>
      <c r="D55">
        <v>29.61</v>
      </c>
      <c r="E55">
        <v>33.14</v>
      </c>
      <c r="F55">
        <v>32.78</v>
      </c>
      <c r="G55">
        <v>31.98</v>
      </c>
      <c r="H55">
        <v>24.51</v>
      </c>
      <c r="I55">
        <v>28.44</v>
      </c>
      <c r="J55">
        <v>33.96</v>
      </c>
      <c r="K55">
        <v>37.46</v>
      </c>
      <c r="L55">
        <v>39.56</v>
      </c>
    </row>
    <row r="56" spans="2:12" x14ac:dyDescent="0.5">
      <c r="E56">
        <v>32.840000000000003</v>
      </c>
      <c r="J56">
        <v>34.6</v>
      </c>
      <c r="L56">
        <v>39.25</v>
      </c>
    </row>
    <row r="58" spans="2:12" x14ac:dyDescent="0.5">
      <c r="C58">
        <f>AVERAGE(C51:C56)</f>
        <v>22.6</v>
      </c>
      <c r="D58">
        <f t="shared" ref="D58:L58" si="12">AVERAGE(D51:D56)</f>
        <v>29.526</v>
      </c>
      <c r="E58">
        <f t="shared" si="12"/>
        <v>33.24</v>
      </c>
      <c r="F58">
        <f t="shared" si="12"/>
        <v>32.768000000000001</v>
      </c>
      <c r="G58">
        <f t="shared" si="12"/>
        <v>32.435999999999993</v>
      </c>
      <c r="H58">
        <f t="shared" si="12"/>
        <v>24.464000000000002</v>
      </c>
      <c r="I58">
        <f t="shared" si="12"/>
        <v>28.736000000000001</v>
      </c>
      <c r="J58">
        <f t="shared" si="12"/>
        <v>34.468333333333334</v>
      </c>
      <c r="K58">
        <f t="shared" si="12"/>
        <v>37.667999999999999</v>
      </c>
      <c r="L58">
        <f t="shared" si="12"/>
        <v>39.44166666666667</v>
      </c>
    </row>
    <row r="59" spans="2:12" x14ac:dyDescent="0.5">
      <c r="C59">
        <f>C58</f>
        <v>22.6</v>
      </c>
      <c r="D59">
        <f t="shared" ref="D59:G59" si="13">D58</f>
        <v>29.526</v>
      </c>
      <c r="E59">
        <f t="shared" si="13"/>
        <v>33.24</v>
      </c>
      <c r="F59">
        <f t="shared" si="13"/>
        <v>32.768000000000001</v>
      </c>
      <c r="G59">
        <f t="shared" si="13"/>
        <v>32.435999999999993</v>
      </c>
      <c r="H59">
        <f>H58+8</f>
        <v>32.463999999999999</v>
      </c>
      <c r="I59">
        <f t="shared" ref="I59:L59" si="14">I58+8</f>
        <v>36.736000000000004</v>
      </c>
      <c r="J59">
        <f t="shared" si="14"/>
        <v>42.468333333333334</v>
      </c>
      <c r="K59">
        <f t="shared" si="14"/>
        <v>45.667999999999999</v>
      </c>
      <c r="L59">
        <f t="shared" si="14"/>
        <v>47.44166666666667</v>
      </c>
    </row>
    <row r="60" spans="2:12" x14ac:dyDescent="0.5">
      <c r="C60">
        <f>_xlfn.STDEV.P(C51:C56)</f>
        <v>0.34287023784516463</v>
      </c>
      <c r="D60">
        <f t="shared" ref="D60:L60" si="15">_xlfn.STDEV.P(D51:D56)</f>
        <v>0.30910192493739008</v>
      </c>
      <c r="E60">
        <f t="shared" si="15"/>
        <v>0.24839484696748393</v>
      </c>
      <c r="F60">
        <f t="shared" si="15"/>
        <v>0.13526270735128756</v>
      </c>
      <c r="G60">
        <f t="shared" si="15"/>
        <v>0.46236781894937273</v>
      </c>
      <c r="H60">
        <f t="shared" si="15"/>
        <v>0.34926207924708924</v>
      </c>
      <c r="I60">
        <f t="shared" si="15"/>
        <v>0.3786607980765892</v>
      </c>
      <c r="J60">
        <f t="shared" si="15"/>
        <v>0.26251454986131428</v>
      </c>
      <c r="K60">
        <f t="shared" si="15"/>
        <v>0.48725352743720624</v>
      </c>
      <c r="L60">
        <f t="shared" si="15"/>
        <v>0.33393695346410734</v>
      </c>
    </row>
    <row r="62" spans="2:12" x14ac:dyDescent="0.5">
      <c r="B62" s="5" t="s">
        <v>7</v>
      </c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2:12" x14ac:dyDescent="0.5">
      <c r="B63" t="s">
        <v>1</v>
      </c>
      <c r="C63">
        <v>74</v>
      </c>
      <c r="D63">
        <v>69</v>
      </c>
      <c r="E63">
        <v>62</v>
      </c>
      <c r="F63">
        <v>57</v>
      </c>
      <c r="G63">
        <v>53</v>
      </c>
      <c r="H63">
        <v>50</v>
      </c>
      <c r="I63">
        <v>47</v>
      </c>
      <c r="J63">
        <v>45</v>
      </c>
      <c r="K63">
        <v>43</v>
      </c>
      <c r="L63">
        <v>41</v>
      </c>
    </row>
    <row r="64" spans="2:12" x14ac:dyDescent="0.5">
      <c r="B64" t="s">
        <v>2</v>
      </c>
      <c r="C64">
        <v>73</v>
      </c>
      <c r="D64">
        <v>120</v>
      </c>
      <c r="E64">
        <v>164</v>
      </c>
      <c r="F64">
        <v>256</v>
      </c>
      <c r="G64">
        <v>353</v>
      </c>
      <c r="H64">
        <v>427</v>
      </c>
      <c r="I64">
        <v>522</v>
      </c>
      <c r="J64">
        <v>586</v>
      </c>
      <c r="K64">
        <v>638</v>
      </c>
      <c r="L64">
        <v>705</v>
      </c>
    </row>
    <row r="65" spans="2:12" x14ac:dyDescent="0.5">
      <c r="B65" t="s">
        <v>3</v>
      </c>
      <c r="C65">
        <v>3</v>
      </c>
      <c r="D65">
        <v>4</v>
      </c>
      <c r="E65">
        <v>6</v>
      </c>
      <c r="F65">
        <v>8</v>
      </c>
      <c r="G65">
        <v>10</v>
      </c>
      <c r="H65">
        <v>12</v>
      </c>
      <c r="I65">
        <v>14</v>
      </c>
      <c r="J65">
        <v>16</v>
      </c>
      <c r="K65">
        <v>18</v>
      </c>
      <c r="L65">
        <v>20</v>
      </c>
    </row>
    <row r="66" spans="2:12" x14ac:dyDescent="0.5">
      <c r="C66">
        <v>21.8</v>
      </c>
      <c r="D66">
        <v>28.91</v>
      </c>
      <c r="E66">
        <v>33.42</v>
      </c>
      <c r="F66">
        <v>32.06</v>
      </c>
      <c r="G66">
        <v>31.29</v>
      </c>
      <c r="H66">
        <v>23.51</v>
      </c>
      <c r="I66">
        <v>28.27</v>
      </c>
      <c r="J66">
        <v>34.18</v>
      </c>
      <c r="K66">
        <v>37.090000000000003</v>
      </c>
      <c r="L66">
        <v>40.25</v>
      </c>
    </row>
    <row r="67" spans="2:12" x14ac:dyDescent="0.5">
      <c r="C67">
        <v>21.35</v>
      </c>
      <c r="D67">
        <v>28.59</v>
      </c>
      <c r="E67">
        <v>32.4</v>
      </c>
      <c r="F67">
        <v>31.5</v>
      </c>
      <c r="G67">
        <v>31.12</v>
      </c>
      <c r="H67">
        <v>23.09</v>
      </c>
      <c r="I67">
        <v>28.66</v>
      </c>
      <c r="J67">
        <v>33.72</v>
      </c>
      <c r="K67">
        <v>36.9</v>
      </c>
      <c r="L67">
        <v>39.72</v>
      </c>
    </row>
    <row r="68" spans="2:12" x14ac:dyDescent="0.5">
      <c r="C68">
        <v>21.93</v>
      </c>
      <c r="D68">
        <v>28.96</v>
      </c>
      <c r="E68">
        <v>32.35</v>
      </c>
      <c r="F68">
        <v>31.58</v>
      </c>
      <c r="G68">
        <v>30.85</v>
      </c>
      <c r="H68">
        <v>23.58</v>
      </c>
      <c r="I68">
        <v>27.41</v>
      </c>
      <c r="J68">
        <v>33.369999999999997</v>
      </c>
      <c r="K68">
        <v>37.520000000000003</v>
      </c>
      <c r="L68">
        <v>40.07</v>
      </c>
    </row>
    <row r="69" spans="2:12" x14ac:dyDescent="0.5">
      <c r="C69">
        <v>21.15</v>
      </c>
      <c r="D69">
        <v>28.64</v>
      </c>
      <c r="E69">
        <v>32.54</v>
      </c>
      <c r="F69">
        <v>31.64</v>
      </c>
      <c r="G69">
        <v>30.9</v>
      </c>
      <c r="H69">
        <v>23.31</v>
      </c>
      <c r="I69">
        <v>27.84</v>
      </c>
      <c r="J69">
        <v>34.11</v>
      </c>
      <c r="K69">
        <v>37.85</v>
      </c>
      <c r="L69">
        <v>39.76</v>
      </c>
    </row>
    <row r="70" spans="2:12" x14ac:dyDescent="0.5">
      <c r="C70">
        <v>21.92</v>
      </c>
      <c r="D70">
        <v>28.33</v>
      </c>
      <c r="E70">
        <v>32.17</v>
      </c>
      <c r="F70">
        <v>32.01</v>
      </c>
      <c r="G70">
        <v>31.12</v>
      </c>
      <c r="H70">
        <v>23.19</v>
      </c>
      <c r="I70">
        <v>28.01</v>
      </c>
      <c r="J70">
        <v>34.229999999999997</v>
      </c>
      <c r="K70">
        <v>37.47</v>
      </c>
      <c r="L70">
        <v>38.58</v>
      </c>
    </row>
    <row r="71" spans="2:12" x14ac:dyDescent="0.5">
      <c r="D71">
        <v>28.66</v>
      </c>
      <c r="E71">
        <v>31.85</v>
      </c>
      <c r="G71">
        <v>31.56</v>
      </c>
      <c r="H71">
        <v>22.81</v>
      </c>
      <c r="I71">
        <v>27.36</v>
      </c>
      <c r="J71">
        <v>32.51</v>
      </c>
      <c r="K71">
        <v>37.49</v>
      </c>
      <c r="L71">
        <v>39.590000000000003</v>
      </c>
    </row>
    <row r="73" spans="2:12" x14ac:dyDescent="0.5">
      <c r="C73">
        <f>AVERAGE(C66:C71)</f>
        <v>21.630000000000003</v>
      </c>
      <c r="D73">
        <f t="shared" ref="D73:L73" si="16">AVERAGE(D66:D71)</f>
        <v>28.681666666666668</v>
      </c>
      <c r="E73">
        <f t="shared" si="16"/>
        <v>32.454999999999998</v>
      </c>
      <c r="F73">
        <f t="shared" si="16"/>
        <v>31.757999999999999</v>
      </c>
      <c r="G73">
        <f t="shared" si="16"/>
        <v>31.14</v>
      </c>
      <c r="H73">
        <f t="shared" si="16"/>
        <v>23.248333333333335</v>
      </c>
      <c r="I73">
        <f t="shared" si="16"/>
        <v>27.925000000000001</v>
      </c>
      <c r="J73">
        <f t="shared" si="16"/>
        <v>33.68666666666666</v>
      </c>
      <c r="K73">
        <f t="shared" si="16"/>
        <v>37.38666666666667</v>
      </c>
      <c r="L73">
        <f t="shared" si="16"/>
        <v>39.661666666666669</v>
      </c>
    </row>
    <row r="74" spans="2:12" x14ac:dyDescent="0.5">
      <c r="C74">
        <f>C73</f>
        <v>21.630000000000003</v>
      </c>
      <c r="D74">
        <f t="shared" ref="D74:G74" si="17">D73</f>
        <v>28.681666666666668</v>
      </c>
      <c r="E74">
        <f t="shared" si="17"/>
        <v>32.454999999999998</v>
      </c>
      <c r="F74">
        <f t="shared" si="17"/>
        <v>31.757999999999999</v>
      </c>
      <c r="G74">
        <f t="shared" si="17"/>
        <v>31.14</v>
      </c>
      <c r="H74">
        <f>H73+8</f>
        <v>31.248333333333335</v>
      </c>
      <c r="I74">
        <f t="shared" ref="I74:L74" si="18">I73+8</f>
        <v>35.924999999999997</v>
      </c>
      <c r="J74">
        <f t="shared" si="18"/>
        <v>41.68666666666666</v>
      </c>
      <c r="K74">
        <f t="shared" si="18"/>
        <v>45.38666666666667</v>
      </c>
      <c r="L74">
        <f t="shared" si="18"/>
        <v>47.661666666666669</v>
      </c>
    </row>
    <row r="75" spans="2:12" x14ac:dyDescent="0.5">
      <c r="C75">
        <f>_xlfn.STDEV.P(C66:C71)</f>
        <v>0.31993749389529247</v>
      </c>
      <c r="D75">
        <f t="shared" ref="D75:L75" si="19">_xlfn.STDEV.P(D66:D71)</f>
        <v>0.20971541563641871</v>
      </c>
      <c r="E75">
        <f t="shared" si="19"/>
        <v>0.48300276051661106</v>
      </c>
      <c r="F75">
        <f t="shared" si="19"/>
        <v>0.23103246525109877</v>
      </c>
      <c r="G75">
        <f t="shared" si="19"/>
        <v>0.23853720883753074</v>
      </c>
      <c r="H75">
        <f t="shared" si="19"/>
        <v>0.25912781059203643</v>
      </c>
      <c r="I75">
        <f t="shared" si="19"/>
        <v>0.45792102667017459</v>
      </c>
      <c r="J75">
        <f t="shared" si="19"/>
        <v>0.60604363612605427</v>
      </c>
      <c r="K75">
        <f t="shared" si="19"/>
        <v>0.30955164709983779</v>
      </c>
      <c r="L75">
        <f t="shared" si="19"/>
        <v>0.53246022282316019</v>
      </c>
    </row>
  </sheetData>
  <mergeCells count="5">
    <mergeCell ref="B1:L1"/>
    <mergeCell ref="B16:L16"/>
    <mergeCell ref="B31:L31"/>
    <mergeCell ref="B47:L47"/>
    <mergeCell ref="B62:L6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E2B3-D34F-40F1-9285-5320ABAA79F7}">
  <dimension ref="B1:Z76"/>
  <sheetViews>
    <sheetView topLeftCell="T1" zoomScale="74" zoomScaleNormal="85" workbookViewId="0">
      <selection activeCell="Y6" sqref="Y6"/>
    </sheetView>
  </sheetViews>
  <sheetFormatPr defaultRowHeight="14.35" x14ac:dyDescent="0.5"/>
  <sheetData>
    <row r="1" spans="2:26" x14ac:dyDescent="0.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26" x14ac:dyDescent="0.5">
      <c r="B2" t="s">
        <v>1</v>
      </c>
      <c r="C2">
        <v>74</v>
      </c>
      <c r="D2">
        <v>69</v>
      </c>
      <c r="E2">
        <v>62</v>
      </c>
      <c r="F2">
        <v>57</v>
      </c>
      <c r="G2">
        <v>53</v>
      </c>
      <c r="H2">
        <v>50</v>
      </c>
      <c r="I2">
        <v>47</v>
      </c>
      <c r="J2">
        <v>45</v>
      </c>
      <c r="K2">
        <v>43</v>
      </c>
      <c r="L2">
        <v>41</v>
      </c>
      <c r="Q2">
        <v>73</v>
      </c>
      <c r="R2">
        <v>120</v>
      </c>
      <c r="S2">
        <v>164</v>
      </c>
      <c r="T2">
        <v>256</v>
      </c>
      <c r="U2">
        <v>353</v>
      </c>
      <c r="V2">
        <v>427</v>
      </c>
      <c r="W2">
        <v>522</v>
      </c>
      <c r="X2">
        <v>586</v>
      </c>
      <c r="Y2">
        <v>638</v>
      </c>
      <c r="Z2">
        <v>705</v>
      </c>
    </row>
    <row r="3" spans="2:26" x14ac:dyDescent="0.5">
      <c r="B3" t="s">
        <v>2</v>
      </c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 t="s">
        <v>8</v>
      </c>
      <c r="Q3">
        <v>2.7762500000000001</v>
      </c>
      <c r="R3">
        <v>11.529999999999998</v>
      </c>
      <c r="S3">
        <v>18.661666666666665</v>
      </c>
      <c r="T3">
        <v>19.743333333333336</v>
      </c>
      <c r="U3">
        <v>21.95</v>
      </c>
      <c r="V3">
        <v>25.98</v>
      </c>
      <c r="W3">
        <v>34.768333333333331</v>
      </c>
      <c r="X3">
        <v>39.275000000000006</v>
      </c>
      <c r="Y3">
        <v>43.404999999999994</v>
      </c>
      <c r="Z3">
        <v>44.932000000000002</v>
      </c>
    </row>
    <row r="4" spans="2:26" x14ac:dyDescent="0.5">
      <c r="B4" t="s">
        <v>3</v>
      </c>
      <c r="C4">
        <v>3</v>
      </c>
      <c r="D4">
        <v>4</v>
      </c>
      <c r="E4">
        <v>6</v>
      </c>
      <c r="F4">
        <v>8</v>
      </c>
      <c r="G4">
        <v>10</v>
      </c>
      <c r="H4">
        <v>12</v>
      </c>
      <c r="I4">
        <v>14</v>
      </c>
      <c r="J4">
        <v>16</v>
      </c>
      <c r="K4">
        <v>18</v>
      </c>
      <c r="L4">
        <v>20</v>
      </c>
      <c r="P4" t="s">
        <v>9</v>
      </c>
      <c r="Q4">
        <v>4.121666666666667</v>
      </c>
      <c r="R4">
        <v>14.508333333333335</v>
      </c>
      <c r="S4">
        <v>22.492000000000001</v>
      </c>
      <c r="T4">
        <v>23.084000000000003</v>
      </c>
      <c r="U4">
        <v>24.066666666666666</v>
      </c>
      <c r="V4">
        <v>26.77</v>
      </c>
      <c r="W4">
        <v>34.386000000000003</v>
      </c>
      <c r="X4">
        <v>40.311999999999998</v>
      </c>
      <c r="Y4">
        <v>43.713999999999999</v>
      </c>
      <c r="Z4">
        <v>45.608333333333327</v>
      </c>
    </row>
    <row r="5" spans="2:26" x14ac:dyDescent="0.5">
      <c r="C5">
        <v>3.88</v>
      </c>
      <c r="D5">
        <v>12.97</v>
      </c>
      <c r="E5">
        <v>18.64</v>
      </c>
      <c r="F5">
        <v>20</v>
      </c>
      <c r="G5">
        <v>21.86</v>
      </c>
      <c r="H5">
        <v>19.420000000000002</v>
      </c>
      <c r="I5">
        <v>28.21</v>
      </c>
      <c r="J5">
        <v>33.58</v>
      </c>
      <c r="K5">
        <v>36.200000000000003</v>
      </c>
      <c r="L5">
        <v>38.200000000000003</v>
      </c>
      <c r="P5" t="s">
        <v>10</v>
      </c>
      <c r="Q5">
        <v>12.225999999999999</v>
      </c>
      <c r="R5">
        <v>24.156666666666666</v>
      </c>
      <c r="S5">
        <v>28.32</v>
      </c>
      <c r="T5">
        <v>27.940000000000005</v>
      </c>
      <c r="U5">
        <v>27.704999999999998</v>
      </c>
      <c r="V5">
        <v>28.964000000000002</v>
      </c>
      <c r="W5">
        <v>33.084999999999994</v>
      </c>
      <c r="X5">
        <v>39.366666666666674</v>
      </c>
      <c r="Y5">
        <v>42.823333333333331</v>
      </c>
      <c r="Z5">
        <v>44.220000000000006</v>
      </c>
    </row>
    <row r="6" spans="2:26" x14ac:dyDescent="0.5">
      <c r="C6">
        <v>2.74</v>
      </c>
      <c r="D6">
        <v>11.56</v>
      </c>
      <c r="E6">
        <v>17.38</v>
      </c>
      <c r="F6">
        <v>19.53</v>
      </c>
      <c r="G6">
        <v>21.71</v>
      </c>
      <c r="H6">
        <v>17.54</v>
      </c>
      <c r="I6">
        <v>26.63</v>
      </c>
      <c r="J6">
        <v>29.47</v>
      </c>
      <c r="K6">
        <v>34.72</v>
      </c>
      <c r="L6">
        <v>36.01</v>
      </c>
      <c r="P6" t="s">
        <v>11</v>
      </c>
      <c r="Q6">
        <v>17.95</v>
      </c>
      <c r="R6">
        <v>26.498000000000001</v>
      </c>
      <c r="S6">
        <v>30.515000000000001</v>
      </c>
      <c r="T6">
        <v>30.078333333333337</v>
      </c>
      <c r="U6">
        <v>30.266666666666666</v>
      </c>
      <c r="V6">
        <v>30.41</v>
      </c>
      <c r="W6">
        <v>34.508333333333326</v>
      </c>
      <c r="X6">
        <v>39.533333333333331</v>
      </c>
      <c r="Y6" t="e">
        <f>NA()</f>
        <v>#N/A</v>
      </c>
      <c r="Z6">
        <v>44.545000000000002</v>
      </c>
    </row>
    <row r="7" spans="2:26" x14ac:dyDescent="0.5">
      <c r="C7">
        <v>2.29</v>
      </c>
      <c r="D7">
        <v>10.4</v>
      </c>
      <c r="E7">
        <v>19.170000000000002</v>
      </c>
      <c r="F7">
        <v>19.600000000000001</v>
      </c>
      <c r="G7">
        <v>21.7</v>
      </c>
      <c r="H7">
        <v>17.38</v>
      </c>
      <c r="I7">
        <v>26.3</v>
      </c>
      <c r="J7">
        <v>31.53</v>
      </c>
      <c r="K7">
        <v>34.729999999999997</v>
      </c>
      <c r="L7">
        <v>37.090000000000003</v>
      </c>
      <c r="P7" t="s">
        <v>12</v>
      </c>
      <c r="Q7">
        <v>19.115999999999996</v>
      </c>
      <c r="R7">
        <v>26.770000000000003</v>
      </c>
      <c r="S7">
        <v>29.930000000000003</v>
      </c>
      <c r="T7">
        <v>29.650000000000002</v>
      </c>
      <c r="U7">
        <v>29.426666666666666</v>
      </c>
      <c r="V7">
        <v>29.408333333333331</v>
      </c>
      <c r="W7">
        <v>33.683999999999997</v>
      </c>
      <c r="X7">
        <v>39.606666666666669</v>
      </c>
      <c r="Y7">
        <v>42.82</v>
      </c>
      <c r="Z7">
        <v>45.361666666666672</v>
      </c>
    </row>
    <row r="8" spans="2:26" x14ac:dyDescent="0.5">
      <c r="C8">
        <v>2.35</v>
      </c>
      <c r="D8">
        <v>11.45</v>
      </c>
      <c r="E8">
        <v>18.38</v>
      </c>
      <c r="F8">
        <v>19.61</v>
      </c>
      <c r="G8">
        <v>22.25</v>
      </c>
      <c r="H8">
        <v>17.45</v>
      </c>
      <c r="I8">
        <v>27.08</v>
      </c>
      <c r="J8">
        <v>30.4</v>
      </c>
      <c r="K8">
        <v>35.549999999999997</v>
      </c>
      <c r="L8">
        <v>36.6</v>
      </c>
    </row>
    <row r="9" spans="2:26" x14ac:dyDescent="0.5">
      <c r="C9">
        <v>2.99</v>
      </c>
      <c r="D9">
        <v>11.27</v>
      </c>
      <c r="E9">
        <v>19.059999999999999</v>
      </c>
      <c r="F9">
        <v>19.62</v>
      </c>
      <c r="G9">
        <v>22.23</v>
      </c>
      <c r="H9">
        <v>17.809999999999999</v>
      </c>
      <c r="I9">
        <v>25.78</v>
      </c>
      <c r="J9">
        <v>29.9</v>
      </c>
      <c r="K9">
        <v>35.659999999999997</v>
      </c>
      <c r="L9">
        <v>36.76</v>
      </c>
    </row>
    <row r="10" spans="2:26" x14ac:dyDescent="0.5">
      <c r="C10">
        <v>2.82</v>
      </c>
      <c r="E10">
        <v>19.34</v>
      </c>
      <c r="F10">
        <v>20.100000000000001</v>
      </c>
      <c r="H10">
        <v>18.28</v>
      </c>
      <c r="I10">
        <v>26.61</v>
      </c>
      <c r="J10">
        <v>32.770000000000003</v>
      </c>
      <c r="K10">
        <v>35.57</v>
      </c>
    </row>
    <row r="11" spans="2:26" x14ac:dyDescent="0.5">
      <c r="C11">
        <v>2.56</v>
      </c>
    </row>
    <row r="12" spans="2:26" x14ac:dyDescent="0.5">
      <c r="C12">
        <v>2.58</v>
      </c>
    </row>
    <row r="14" spans="2:26" x14ac:dyDescent="0.5">
      <c r="C14">
        <f>AVERAGE(C5:C12)</f>
        <v>2.7762500000000001</v>
      </c>
      <c r="D14">
        <f t="shared" ref="D14:L14" si="0">AVERAGE(D5:D12)</f>
        <v>11.529999999999998</v>
      </c>
      <c r="E14">
        <f t="shared" si="0"/>
        <v>18.661666666666665</v>
      </c>
      <c r="F14">
        <f t="shared" si="0"/>
        <v>19.743333333333336</v>
      </c>
      <c r="G14">
        <f t="shared" si="0"/>
        <v>21.95</v>
      </c>
      <c r="H14">
        <f t="shared" si="0"/>
        <v>17.98</v>
      </c>
      <c r="I14">
        <f t="shared" si="0"/>
        <v>26.768333333333334</v>
      </c>
      <c r="J14">
        <f t="shared" si="0"/>
        <v>31.275000000000002</v>
      </c>
      <c r="K14">
        <f t="shared" si="0"/>
        <v>35.404999999999994</v>
      </c>
      <c r="L14">
        <f t="shared" si="0"/>
        <v>36.932000000000002</v>
      </c>
    </row>
    <row r="15" spans="2:26" x14ac:dyDescent="0.5">
      <c r="C15">
        <f>C14</f>
        <v>2.7762500000000001</v>
      </c>
      <c r="D15">
        <f t="shared" ref="D15:G15" si="1">D14</f>
        <v>11.529999999999998</v>
      </c>
      <c r="E15">
        <f t="shared" si="1"/>
        <v>18.661666666666665</v>
      </c>
      <c r="F15">
        <f t="shared" si="1"/>
        <v>19.743333333333336</v>
      </c>
      <c r="G15">
        <f t="shared" si="1"/>
        <v>21.95</v>
      </c>
      <c r="H15">
        <f>H14+8</f>
        <v>25.98</v>
      </c>
      <c r="I15">
        <f t="shared" ref="I15:L15" si="2">I14+8</f>
        <v>34.768333333333331</v>
      </c>
      <c r="J15">
        <f t="shared" si="2"/>
        <v>39.275000000000006</v>
      </c>
      <c r="K15">
        <f t="shared" si="2"/>
        <v>43.404999999999994</v>
      </c>
      <c r="L15">
        <f t="shared" si="2"/>
        <v>44.932000000000002</v>
      </c>
    </row>
    <row r="16" spans="2:26" x14ac:dyDescent="0.5">
      <c r="C16">
        <f t="shared" ref="C16:L16" si="3">_xlfn.STDEV.P(C5:C9)</f>
        <v>0.57553453415064526</v>
      </c>
      <c r="D16">
        <f t="shared" si="3"/>
        <v>0.82769559621880329</v>
      </c>
      <c r="E16">
        <f t="shared" si="3"/>
        <v>0.63992499560495431</v>
      </c>
      <c r="F16">
        <f t="shared" si="3"/>
        <v>0.16702095676890336</v>
      </c>
      <c r="G16">
        <f t="shared" si="3"/>
        <v>0.24355697485393446</v>
      </c>
      <c r="H16">
        <f t="shared" si="3"/>
        <v>0.76406805979572368</v>
      </c>
      <c r="I16">
        <f t="shared" si="3"/>
        <v>0.82289732044769692</v>
      </c>
      <c r="J16">
        <f t="shared" si="3"/>
        <v>1.4727742528982506</v>
      </c>
      <c r="K16">
        <f t="shared" si="3"/>
        <v>0.5722726622860832</v>
      </c>
      <c r="L16">
        <f t="shared" si="3"/>
        <v>0.72424857611182247</v>
      </c>
    </row>
    <row r="18" spans="2:12" x14ac:dyDescent="0.5">
      <c r="B18" s="5" t="s">
        <v>4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x14ac:dyDescent="0.5">
      <c r="B19" t="s">
        <v>1</v>
      </c>
      <c r="C19">
        <v>74</v>
      </c>
      <c r="D19">
        <v>69</v>
      </c>
      <c r="E19">
        <v>62</v>
      </c>
      <c r="F19">
        <v>57</v>
      </c>
      <c r="G19">
        <v>53</v>
      </c>
      <c r="H19">
        <v>50</v>
      </c>
      <c r="I19">
        <v>47</v>
      </c>
      <c r="J19">
        <v>45</v>
      </c>
      <c r="K19">
        <v>43</v>
      </c>
      <c r="L19">
        <v>41</v>
      </c>
    </row>
    <row r="20" spans="2:12" x14ac:dyDescent="0.5">
      <c r="B20" t="s">
        <v>2</v>
      </c>
      <c r="C20">
        <v>73</v>
      </c>
      <c r="D20">
        <v>120</v>
      </c>
      <c r="E20">
        <v>164</v>
      </c>
      <c r="F20">
        <v>256</v>
      </c>
      <c r="G20">
        <v>353</v>
      </c>
      <c r="H20">
        <v>427</v>
      </c>
      <c r="I20">
        <v>522</v>
      </c>
      <c r="J20">
        <v>586</v>
      </c>
      <c r="K20">
        <v>638</v>
      </c>
      <c r="L20">
        <v>705</v>
      </c>
    </row>
    <row r="21" spans="2:12" x14ac:dyDescent="0.5">
      <c r="B21" t="s">
        <v>3</v>
      </c>
      <c r="C21">
        <v>3</v>
      </c>
      <c r="D21">
        <v>4</v>
      </c>
      <c r="E21">
        <v>6</v>
      </c>
      <c r="F21">
        <v>8</v>
      </c>
      <c r="G21">
        <v>10</v>
      </c>
      <c r="H21">
        <v>12</v>
      </c>
      <c r="I21">
        <v>14</v>
      </c>
      <c r="J21">
        <v>16</v>
      </c>
      <c r="K21">
        <v>18</v>
      </c>
      <c r="L21">
        <v>20</v>
      </c>
    </row>
    <row r="22" spans="2:12" x14ac:dyDescent="0.5">
      <c r="C22">
        <v>5.47</v>
      </c>
      <c r="D22">
        <v>15.93</v>
      </c>
      <c r="E22">
        <v>23.94</v>
      </c>
      <c r="F22">
        <v>23.72</v>
      </c>
      <c r="G22">
        <v>24.67</v>
      </c>
      <c r="H22">
        <v>19.55</v>
      </c>
      <c r="I22">
        <v>27.2</v>
      </c>
      <c r="J22">
        <v>32.590000000000003</v>
      </c>
      <c r="K22">
        <v>36.47</v>
      </c>
      <c r="L22">
        <v>37.86</v>
      </c>
    </row>
    <row r="23" spans="2:12" x14ac:dyDescent="0.5">
      <c r="C23">
        <v>3.77</v>
      </c>
      <c r="D23">
        <v>14.65</v>
      </c>
      <c r="E23">
        <v>22.16</v>
      </c>
      <c r="F23">
        <v>22.94</v>
      </c>
      <c r="G23">
        <v>24.42</v>
      </c>
      <c r="H23">
        <v>18.38</v>
      </c>
      <c r="I23">
        <v>25.5</v>
      </c>
      <c r="J23">
        <v>32.58</v>
      </c>
      <c r="K23">
        <v>34.97</v>
      </c>
      <c r="L23">
        <v>37.450000000000003</v>
      </c>
    </row>
    <row r="24" spans="2:12" x14ac:dyDescent="0.5">
      <c r="C24">
        <v>3.65</v>
      </c>
      <c r="D24">
        <v>14.25</v>
      </c>
      <c r="E24">
        <v>22.64</v>
      </c>
      <c r="F24">
        <v>23.01</v>
      </c>
      <c r="G24">
        <v>23.88</v>
      </c>
      <c r="H24">
        <v>18.239999999999998</v>
      </c>
      <c r="I24">
        <v>26.63</v>
      </c>
      <c r="J24">
        <v>31.42</v>
      </c>
      <c r="K24">
        <v>35.01</v>
      </c>
      <c r="L24">
        <v>37.880000000000003</v>
      </c>
    </row>
    <row r="25" spans="2:12" x14ac:dyDescent="0.5">
      <c r="C25">
        <v>3.7</v>
      </c>
      <c r="D25">
        <v>14.64</v>
      </c>
      <c r="E25">
        <v>21.92</v>
      </c>
      <c r="F25">
        <v>23.1</v>
      </c>
      <c r="G25">
        <v>23.89</v>
      </c>
      <c r="H25">
        <v>18.8</v>
      </c>
      <c r="I25">
        <v>26.22</v>
      </c>
      <c r="J25">
        <v>31.87</v>
      </c>
      <c r="K25">
        <v>35.68</v>
      </c>
      <c r="L25">
        <v>37.590000000000003</v>
      </c>
    </row>
    <row r="26" spans="2:12" x14ac:dyDescent="0.5">
      <c r="C26">
        <v>3.84</v>
      </c>
      <c r="D26">
        <v>14.18</v>
      </c>
      <c r="E26">
        <v>21.8</v>
      </c>
      <c r="F26">
        <v>22.65</v>
      </c>
      <c r="G26">
        <v>23.78</v>
      </c>
      <c r="H26">
        <v>18.649999999999999</v>
      </c>
      <c r="I26">
        <v>26.38</v>
      </c>
      <c r="J26">
        <v>33.1</v>
      </c>
      <c r="K26">
        <v>36.44</v>
      </c>
      <c r="L26">
        <v>37.67</v>
      </c>
    </row>
    <row r="27" spans="2:12" x14ac:dyDescent="0.5">
      <c r="C27">
        <v>4.3</v>
      </c>
      <c r="D27">
        <v>13.4</v>
      </c>
      <c r="G27">
        <v>23.76</v>
      </c>
      <c r="H27">
        <v>19</v>
      </c>
      <c r="L27">
        <v>37.200000000000003</v>
      </c>
    </row>
    <row r="29" spans="2:12" x14ac:dyDescent="0.5">
      <c r="C29">
        <f>AVERAGE(C22:C27)</f>
        <v>4.121666666666667</v>
      </c>
      <c r="D29">
        <f t="shared" ref="D29:L29" si="4">AVERAGE(D22:D27)</f>
        <v>14.508333333333335</v>
      </c>
      <c r="E29">
        <f t="shared" si="4"/>
        <v>22.492000000000001</v>
      </c>
      <c r="F29">
        <f t="shared" si="4"/>
        <v>23.084000000000003</v>
      </c>
      <c r="G29">
        <f t="shared" si="4"/>
        <v>24.066666666666666</v>
      </c>
      <c r="H29">
        <f t="shared" si="4"/>
        <v>18.77</v>
      </c>
      <c r="I29">
        <f t="shared" si="4"/>
        <v>26.386000000000003</v>
      </c>
      <c r="J29">
        <f t="shared" si="4"/>
        <v>32.311999999999998</v>
      </c>
      <c r="K29">
        <f t="shared" si="4"/>
        <v>35.713999999999999</v>
      </c>
      <c r="L29">
        <f t="shared" si="4"/>
        <v>37.608333333333327</v>
      </c>
    </row>
    <row r="30" spans="2:12" x14ac:dyDescent="0.5">
      <c r="C30">
        <f>C29</f>
        <v>4.121666666666667</v>
      </c>
      <c r="D30">
        <f t="shared" ref="D30:G30" si="5">D29</f>
        <v>14.508333333333335</v>
      </c>
      <c r="E30">
        <f t="shared" si="5"/>
        <v>22.492000000000001</v>
      </c>
      <c r="F30">
        <f t="shared" si="5"/>
        <v>23.084000000000003</v>
      </c>
      <c r="G30">
        <f t="shared" si="5"/>
        <v>24.066666666666666</v>
      </c>
      <c r="H30">
        <f>H29+8</f>
        <v>26.77</v>
      </c>
      <c r="I30">
        <f t="shared" ref="I30:L30" si="6">I29+8</f>
        <v>34.386000000000003</v>
      </c>
      <c r="J30">
        <f t="shared" si="6"/>
        <v>40.311999999999998</v>
      </c>
      <c r="K30">
        <f t="shared" si="6"/>
        <v>43.713999999999999</v>
      </c>
      <c r="L30">
        <f t="shared" si="6"/>
        <v>45.608333333333327</v>
      </c>
    </row>
    <row r="31" spans="2:12" x14ac:dyDescent="0.5">
      <c r="C31">
        <f>_xlfn.STDEV.P(C22:C27)</f>
        <v>0.63941162190112</v>
      </c>
      <c r="D31">
        <f t="shared" ref="D31:L31" si="7">_xlfn.STDEV.P(D22:D27)</f>
        <v>0.7595484769841151</v>
      </c>
      <c r="E31">
        <f t="shared" si="7"/>
        <v>0.77908664473215061</v>
      </c>
      <c r="F31">
        <f t="shared" si="7"/>
        <v>0.35194317723177959</v>
      </c>
      <c r="G31">
        <f t="shared" si="7"/>
        <v>0.34907815107158435</v>
      </c>
      <c r="H31">
        <f t="shared" si="7"/>
        <v>0.43003875794320445</v>
      </c>
      <c r="I31">
        <f t="shared" si="7"/>
        <v>0.55402527018178493</v>
      </c>
      <c r="J31">
        <f t="shared" si="7"/>
        <v>0.59347788501341803</v>
      </c>
      <c r="K31">
        <f t="shared" si="7"/>
        <v>0.65557913328598239</v>
      </c>
      <c r="L31">
        <f t="shared" si="7"/>
        <v>0.2356138554688339</v>
      </c>
    </row>
    <row r="33" spans="2:12" x14ac:dyDescent="0.5">
      <c r="B33" s="5" t="s">
        <v>5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x14ac:dyDescent="0.5">
      <c r="B34" t="s">
        <v>1</v>
      </c>
      <c r="C34">
        <v>74</v>
      </c>
      <c r="D34">
        <v>69</v>
      </c>
      <c r="E34">
        <v>62</v>
      </c>
      <c r="F34">
        <v>57</v>
      </c>
      <c r="G34">
        <v>53</v>
      </c>
      <c r="H34">
        <v>50</v>
      </c>
      <c r="I34">
        <v>47</v>
      </c>
      <c r="J34">
        <v>45</v>
      </c>
      <c r="K34">
        <v>43</v>
      </c>
      <c r="L34">
        <v>41</v>
      </c>
    </row>
    <row r="35" spans="2:12" x14ac:dyDescent="0.5">
      <c r="B35" t="s">
        <v>2</v>
      </c>
      <c r="C35">
        <v>73</v>
      </c>
      <c r="D35">
        <v>120</v>
      </c>
      <c r="E35">
        <v>164</v>
      </c>
      <c r="F35">
        <v>256</v>
      </c>
      <c r="G35">
        <v>353</v>
      </c>
      <c r="H35">
        <v>427</v>
      </c>
      <c r="I35">
        <v>522</v>
      </c>
      <c r="J35">
        <v>586</v>
      </c>
      <c r="K35">
        <v>638</v>
      </c>
      <c r="L35">
        <v>705</v>
      </c>
    </row>
    <row r="36" spans="2:12" x14ac:dyDescent="0.5">
      <c r="B36" t="s">
        <v>3</v>
      </c>
      <c r="C36">
        <v>3</v>
      </c>
      <c r="D36">
        <v>4</v>
      </c>
      <c r="E36">
        <v>6</v>
      </c>
      <c r="F36">
        <v>8</v>
      </c>
      <c r="G36">
        <v>10</v>
      </c>
      <c r="H36">
        <v>12</v>
      </c>
      <c r="I36">
        <v>14</v>
      </c>
      <c r="J36">
        <v>16</v>
      </c>
      <c r="K36">
        <v>18</v>
      </c>
      <c r="L36">
        <v>20</v>
      </c>
    </row>
    <row r="37" spans="2:12" x14ac:dyDescent="0.5">
      <c r="C37">
        <v>14.58</v>
      </c>
      <c r="D37">
        <v>24.39</v>
      </c>
      <c r="E37">
        <v>28.23</v>
      </c>
      <c r="F37">
        <v>28.12</v>
      </c>
      <c r="G37">
        <v>27.71</v>
      </c>
      <c r="H37">
        <v>21.71</v>
      </c>
      <c r="I37">
        <v>24.63</v>
      </c>
      <c r="J37">
        <v>32.64</v>
      </c>
      <c r="K37">
        <v>36.049999999999997</v>
      </c>
      <c r="L37">
        <v>37.29</v>
      </c>
    </row>
    <row r="38" spans="2:12" x14ac:dyDescent="0.5">
      <c r="C38">
        <v>10.79</v>
      </c>
      <c r="D38">
        <v>22.77</v>
      </c>
      <c r="E38">
        <v>28.13</v>
      </c>
      <c r="F38">
        <v>27.72</v>
      </c>
      <c r="G38">
        <v>27.23</v>
      </c>
      <c r="H38">
        <v>20.66</v>
      </c>
      <c r="I38">
        <v>24.97</v>
      </c>
      <c r="J38">
        <v>30.98</v>
      </c>
      <c r="K38">
        <v>35.21</v>
      </c>
      <c r="L38">
        <v>34.89</v>
      </c>
    </row>
    <row r="39" spans="2:12" x14ac:dyDescent="0.5">
      <c r="C39">
        <v>10.62</v>
      </c>
      <c r="D39">
        <v>24.27</v>
      </c>
      <c r="E39">
        <v>28.32</v>
      </c>
      <c r="F39">
        <v>28.11</v>
      </c>
      <c r="G39">
        <v>27.74</v>
      </c>
      <c r="H39">
        <v>21.17</v>
      </c>
      <c r="I39">
        <v>25.58</v>
      </c>
      <c r="J39">
        <v>31.34</v>
      </c>
      <c r="K39">
        <v>34.22</v>
      </c>
      <c r="L39">
        <v>35.06</v>
      </c>
    </row>
    <row r="40" spans="2:12" x14ac:dyDescent="0.5">
      <c r="C40">
        <v>12.73</v>
      </c>
      <c r="D40">
        <v>24.01</v>
      </c>
      <c r="E40">
        <v>28.66</v>
      </c>
      <c r="F40">
        <v>27.81</v>
      </c>
      <c r="G40">
        <v>27.67</v>
      </c>
      <c r="H40">
        <v>21.01</v>
      </c>
      <c r="I40">
        <v>25.43</v>
      </c>
      <c r="J40">
        <v>31.47</v>
      </c>
      <c r="K40">
        <v>34.46</v>
      </c>
      <c r="L40">
        <v>35.5</v>
      </c>
    </row>
    <row r="41" spans="2:12" x14ac:dyDescent="0.5">
      <c r="C41">
        <v>12.41</v>
      </c>
      <c r="D41">
        <v>25.24</v>
      </c>
      <c r="E41">
        <v>28.26</v>
      </c>
      <c r="F41">
        <v>27.94</v>
      </c>
      <c r="G41">
        <v>27.78</v>
      </c>
      <c r="H41">
        <v>20.27</v>
      </c>
      <c r="I41">
        <v>24.83</v>
      </c>
      <c r="J41">
        <v>30.21</v>
      </c>
      <c r="K41">
        <v>34.36</v>
      </c>
      <c r="L41">
        <v>37.68</v>
      </c>
    </row>
    <row r="42" spans="2:12" x14ac:dyDescent="0.5">
      <c r="D42">
        <v>24.26</v>
      </c>
      <c r="G42">
        <v>28.1</v>
      </c>
      <c r="I42">
        <v>25.07</v>
      </c>
      <c r="J42">
        <v>31.56</v>
      </c>
      <c r="K42">
        <v>34.64</v>
      </c>
      <c r="L42">
        <v>36.9</v>
      </c>
    </row>
    <row r="44" spans="2:12" x14ac:dyDescent="0.5">
      <c r="C44">
        <f>AVERAGE(C37:C42)</f>
        <v>12.225999999999999</v>
      </c>
      <c r="D44">
        <f t="shared" ref="D44:L44" si="8">AVERAGE(D37:D42)</f>
        <v>24.156666666666666</v>
      </c>
      <c r="E44">
        <f t="shared" si="8"/>
        <v>28.32</v>
      </c>
      <c r="F44">
        <f t="shared" si="8"/>
        <v>27.940000000000005</v>
      </c>
      <c r="G44">
        <f t="shared" si="8"/>
        <v>27.704999999999998</v>
      </c>
      <c r="H44">
        <f t="shared" si="8"/>
        <v>20.964000000000002</v>
      </c>
      <c r="I44">
        <f t="shared" si="8"/>
        <v>25.084999999999997</v>
      </c>
      <c r="J44">
        <f t="shared" si="8"/>
        <v>31.366666666666671</v>
      </c>
      <c r="K44">
        <f t="shared" si="8"/>
        <v>34.823333333333331</v>
      </c>
      <c r="L44">
        <f t="shared" si="8"/>
        <v>36.220000000000006</v>
      </c>
    </row>
    <row r="45" spans="2:12" x14ac:dyDescent="0.5">
      <c r="C45">
        <f>C44</f>
        <v>12.225999999999999</v>
      </c>
      <c r="D45">
        <f t="shared" ref="D45:G45" si="9">D44</f>
        <v>24.156666666666666</v>
      </c>
      <c r="E45">
        <f t="shared" si="9"/>
        <v>28.32</v>
      </c>
      <c r="F45">
        <f t="shared" si="9"/>
        <v>27.940000000000005</v>
      </c>
      <c r="G45">
        <f t="shared" si="9"/>
        <v>27.704999999999998</v>
      </c>
      <c r="H45">
        <f>H44+8</f>
        <v>28.964000000000002</v>
      </c>
      <c r="I45">
        <f t="shared" ref="I45:L45" si="10">I44+8</f>
        <v>33.084999999999994</v>
      </c>
      <c r="J45">
        <f t="shared" si="10"/>
        <v>39.366666666666674</v>
      </c>
      <c r="K45">
        <f t="shared" si="10"/>
        <v>42.823333333333331</v>
      </c>
      <c r="L45">
        <f t="shared" si="10"/>
        <v>44.220000000000006</v>
      </c>
    </row>
    <row r="46" spans="2:12" x14ac:dyDescent="0.5">
      <c r="C46">
        <f>_xlfn.STDEV.P(C37:C42)</f>
        <v>1.4471019314478311</v>
      </c>
      <c r="D46">
        <f t="shared" ref="D46:L46" si="11">_xlfn.STDEV.P(D37:D42)</f>
        <v>0.72983255309389639</v>
      </c>
      <c r="E46">
        <f t="shared" si="11"/>
        <v>0.18077610461562679</v>
      </c>
      <c r="F46">
        <f t="shared" si="11"/>
        <v>0.1591225942473293</v>
      </c>
      <c r="G46">
        <f t="shared" si="11"/>
        <v>0.25486924752377138</v>
      </c>
      <c r="H46">
        <f t="shared" si="11"/>
        <v>0.48479273921955607</v>
      </c>
      <c r="I46">
        <f t="shared" si="11"/>
        <v>0.32902634139736192</v>
      </c>
      <c r="J46">
        <f t="shared" si="11"/>
        <v>0.72543473555899929</v>
      </c>
      <c r="K46">
        <f t="shared" si="11"/>
        <v>0.63226225219884402</v>
      </c>
      <c r="L46">
        <f t="shared" si="11"/>
        <v>1.1084373384785138</v>
      </c>
    </row>
    <row r="48" spans="2:12" x14ac:dyDescent="0.5">
      <c r="B48" s="5" t="s">
        <v>6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12" x14ac:dyDescent="0.5">
      <c r="B49" t="s">
        <v>1</v>
      </c>
      <c r="C49">
        <v>74</v>
      </c>
      <c r="D49">
        <v>69</v>
      </c>
      <c r="E49">
        <v>62</v>
      </c>
      <c r="F49">
        <v>57</v>
      </c>
      <c r="G49">
        <v>53</v>
      </c>
      <c r="H49">
        <v>50</v>
      </c>
      <c r="I49">
        <v>47</v>
      </c>
      <c r="J49">
        <v>45</v>
      </c>
      <c r="K49">
        <v>43</v>
      </c>
      <c r="L49">
        <v>41</v>
      </c>
    </row>
    <row r="50" spans="2:12" x14ac:dyDescent="0.5">
      <c r="B50" t="s">
        <v>2</v>
      </c>
      <c r="C50">
        <v>73</v>
      </c>
      <c r="D50">
        <v>120</v>
      </c>
      <c r="E50">
        <v>164</v>
      </c>
      <c r="F50">
        <v>256</v>
      </c>
      <c r="G50">
        <v>353</v>
      </c>
      <c r="H50">
        <v>427</v>
      </c>
      <c r="I50">
        <v>522</v>
      </c>
      <c r="J50">
        <v>586</v>
      </c>
      <c r="K50">
        <v>638</v>
      </c>
      <c r="L50">
        <v>705</v>
      </c>
    </row>
    <row r="51" spans="2:12" x14ac:dyDescent="0.5">
      <c r="B51" t="s">
        <v>3</v>
      </c>
      <c r="C51">
        <v>3</v>
      </c>
      <c r="D51">
        <v>4</v>
      </c>
      <c r="E51">
        <v>6</v>
      </c>
      <c r="F51">
        <v>8</v>
      </c>
      <c r="G51">
        <v>10</v>
      </c>
      <c r="H51">
        <v>12</v>
      </c>
      <c r="I51">
        <v>14</v>
      </c>
      <c r="J51">
        <v>16</v>
      </c>
      <c r="K51">
        <v>18</v>
      </c>
      <c r="L51">
        <v>20</v>
      </c>
    </row>
    <row r="52" spans="2:12" x14ac:dyDescent="0.5">
      <c r="C52">
        <v>19.25</v>
      </c>
      <c r="D52">
        <v>26.69</v>
      </c>
      <c r="E52">
        <v>31.42</v>
      </c>
      <c r="F52">
        <v>30.64</v>
      </c>
      <c r="G52">
        <v>31.36</v>
      </c>
      <c r="H52">
        <v>23.02</v>
      </c>
      <c r="I52">
        <v>26.39</v>
      </c>
      <c r="J52">
        <v>31.63</v>
      </c>
      <c r="L52">
        <v>37.42</v>
      </c>
    </row>
    <row r="53" spans="2:12" x14ac:dyDescent="0.5">
      <c r="C53">
        <v>16.440000000000001</v>
      </c>
      <c r="D53">
        <v>25.93</v>
      </c>
      <c r="E53">
        <v>31.2</v>
      </c>
      <c r="F53">
        <v>29.92</v>
      </c>
      <c r="G53">
        <v>30.46</v>
      </c>
      <c r="H53">
        <v>21.8</v>
      </c>
      <c r="I53">
        <v>26.91</v>
      </c>
      <c r="J53">
        <v>30.67</v>
      </c>
      <c r="L53">
        <v>36.130000000000003</v>
      </c>
    </row>
    <row r="54" spans="2:12" x14ac:dyDescent="0.5">
      <c r="C54">
        <v>18.149999999999999</v>
      </c>
      <c r="D54">
        <v>26.62</v>
      </c>
      <c r="E54">
        <v>29.86</v>
      </c>
      <c r="F54">
        <v>29.73</v>
      </c>
      <c r="G54">
        <v>29.95</v>
      </c>
      <c r="H54">
        <v>22.73</v>
      </c>
      <c r="I54">
        <v>27.13</v>
      </c>
      <c r="J54">
        <v>31.23</v>
      </c>
      <c r="L54">
        <v>35.86</v>
      </c>
    </row>
    <row r="55" spans="2:12" x14ac:dyDescent="0.5">
      <c r="C55">
        <v>17.940000000000001</v>
      </c>
      <c r="D55">
        <v>25.92</v>
      </c>
      <c r="E55">
        <v>29.89</v>
      </c>
      <c r="F55">
        <v>30</v>
      </c>
      <c r="G55">
        <v>29.97</v>
      </c>
      <c r="H55">
        <v>22.36</v>
      </c>
      <c r="I55">
        <v>25.66</v>
      </c>
      <c r="J55">
        <v>32.119999999999997</v>
      </c>
      <c r="L55">
        <v>37.17</v>
      </c>
    </row>
    <row r="56" spans="2:12" x14ac:dyDescent="0.5">
      <c r="C56">
        <v>17.97</v>
      </c>
      <c r="D56">
        <v>27.33</v>
      </c>
      <c r="E56">
        <v>30.32</v>
      </c>
      <c r="F56">
        <v>30.04</v>
      </c>
      <c r="G56">
        <v>29.96</v>
      </c>
      <c r="H56">
        <v>22.43</v>
      </c>
      <c r="I56">
        <v>26.21</v>
      </c>
      <c r="J56">
        <v>31.49</v>
      </c>
      <c r="L56">
        <v>36.57</v>
      </c>
    </row>
    <row r="57" spans="2:12" x14ac:dyDescent="0.5">
      <c r="E57">
        <v>30.4</v>
      </c>
      <c r="F57">
        <v>30.14</v>
      </c>
      <c r="G57">
        <v>29.9</v>
      </c>
      <c r="H57">
        <v>22.12</v>
      </c>
      <c r="I57">
        <v>26.75</v>
      </c>
      <c r="J57">
        <v>32.06</v>
      </c>
      <c r="L57">
        <v>36.119999999999997</v>
      </c>
    </row>
    <row r="59" spans="2:12" x14ac:dyDescent="0.5">
      <c r="C59">
        <f>AVERAGE(C52:C57)</f>
        <v>17.95</v>
      </c>
      <c r="D59">
        <f t="shared" ref="D59:L59" si="12">AVERAGE(D52:D57)</f>
        <v>26.498000000000001</v>
      </c>
      <c r="E59">
        <f t="shared" si="12"/>
        <v>30.515000000000001</v>
      </c>
      <c r="F59">
        <f t="shared" si="12"/>
        <v>30.078333333333337</v>
      </c>
      <c r="G59">
        <f t="shared" si="12"/>
        <v>30.266666666666666</v>
      </c>
      <c r="H59">
        <f t="shared" si="12"/>
        <v>22.41</v>
      </c>
      <c r="I59">
        <f t="shared" si="12"/>
        <v>26.508333333333329</v>
      </c>
      <c r="J59">
        <f t="shared" si="12"/>
        <v>31.533333333333335</v>
      </c>
      <c r="K59" t="e">
        <f t="shared" si="12"/>
        <v>#DIV/0!</v>
      </c>
      <c r="L59">
        <f t="shared" si="12"/>
        <v>36.545000000000002</v>
      </c>
    </row>
    <row r="60" spans="2:12" x14ac:dyDescent="0.5">
      <c r="C60">
        <f>C59</f>
        <v>17.95</v>
      </c>
      <c r="D60">
        <f t="shared" ref="D60:G60" si="13">D59</f>
        <v>26.498000000000001</v>
      </c>
      <c r="E60">
        <f t="shared" si="13"/>
        <v>30.515000000000001</v>
      </c>
      <c r="F60">
        <f t="shared" si="13"/>
        <v>30.078333333333337</v>
      </c>
      <c r="G60">
        <f t="shared" si="13"/>
        <v>30.266666666666666</v>
      </c>
      <c r="H60">
        <f>H59+8</f>
        <v>30.41</v>
      </c>
      <c r="I60">
        <f t="shared" ref="I60:L60" si="14">I59+8</f>
        <v>34.508333333333326</v>
      </c>
      <c r="J60">
        <f t="shared" si="14"/>
        <v>39.533333333333331</v>
      </c>
      <c r="K60" t="e">
        <f t="shared" si="14"/>
        <v>#DIV/0!</v>
      </c>
      <c r="L60">
        <f t="shared" si="14"/>
        <v>44.545000000000002</v>
      </c>
    </row>
    <row r="61" spans="2:12" x14ac:dyDescent="0.5">
      <c r="C61">
        <f>_xlfn.STDEV.P(C52:C57)</f>
        <v>0.89561152292721158</v>
      </c>
      <c r="D61">
        <f t="shared" ref="D61:L61" si="15">_xlfn.STDEV.P(D52:D57)</f>
        <v>0.52927875453299578</v>
      </c>
      <c r="E61">
        <f t="shared" si="15"/>
        <v>0.59988193282789715</v>
      </c>
      <c r="F61">
        <f t="shared" si="15"/>
        <v>0.28085682394336714</v>
      </c>
      <c r="G61">
        <f t="shared" si="15"/>
        <v>0.52433026063943933</v>
      </c>
      <c r="H61">
        <f t="shared" si="15"/>
        <v>0.39446165846632003</v>
      </c>
      <c r="I61">
        <f t="shared" si="15"/>
        <v>0.48800330144602699</v>
      </c>
      <c r="J61">
        <f t="shared" si="15"/>
        <v>0.49499719415590787</v>
      </c>
      <c r="K61" t="e">
        <f t="shared" si="15"/>
        <v>#DIV/0!</v>
      </c>
      <c r="L61">
        <f t="shared" si="15"/>
        <v>0.57430392650581885</v>
      </c>
    </row>
    <row r="63" spans="2:12" x14ac:dyDescent="0.5">
      <c r="B63" s="5" t="s">
        <v>7</v>
      </c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2:12" x14ac:dyDescent="0.5">
      <c r="B64" t="s">
        <v>1</v>
      </c>
      <c r="C64">
        <v>74</v>
      </c>
      <c r="D64">
        <v>69</v>
      </c>
      <c r="E64">
        <v>62</v>
      </c>
      <c r="F64">
        <v>57</v>
      </c>
      <c r="G64">
        <v>53</v>
      </c>
      <c r="H64">
        <v>50</v>
      </c>
      <c r="I64">
        <v>47</v>
      </c>
      <c r="J64">
        <v>45</v>
      </c>
      <c r="K64">
        <v>43</v>
      </c>
      <c r="L64">
        <v>41</v>
      </c>
    </row>
    <row r="65" spans="2:12" x14ac:dyDescent="0.5">
      <c r="B65" t="s">
        <v>2</v>
      </c>
      <c r="C65">
        <v>73</v>
      </c>
      <c r="D65">
        <v>120</v>
      </c>
      <c r="E65">
        <v>164</v>
      </c>
      <c r="F65">
        <v>256</v>
      </c>
      <c r="G65">
        <v>353</v>
      </c>
      <c r="H65">
        <v>427</v>
      </c>
      <c r="I65">
        <v>522</v>
      </c>
      <c r="J65">
        <v>586</v>
      </c>
      <c r="K65">
        <v>638</v>
      </c>
      <c r="L65">
        <v>705</v>
      </c>
    </row>
    <row r="66" spans="2:12" x14ac:dyDescent="0.5">
      <c r="B66" t="s">
        <v>3</v>
      </c>
      <c r="C66">
        <v>3</v>
      </c>
      <c r="D66">
        <v>4</v>
      </c>
      <c r="E66">
        <v>6</v>
      </c>
      <c r="F66">
        <v>8</v>
      </c>
      <c r="G66">
        <v>10</v>
      </c>
      <c r="H66">
        <v>12</v>
      </c>
      <c r="I66">
        <v>14</v>
      </c>
      <c r="J66">
        <v>16</v>
      </c>
      <c r="K66">
        <v>18</v>
      </c>
      <c r="L66">
        <v>20</v>
      </c>
    </row>
    <row r="67" spans="2:12" x14ac:dyDescent="0.5">
      <c r="C67">
        <v>20.309999999999999</v>
      </c>
      <c r="D67">
        <v>27.26</v>
      </c>
      <c r="E67">
        <v>30.33</v>
      </c>
      <c r="F67">
        <v>30.08</v>
      </c>
      <c r="G67">
        <v>30.46</v>
      </c>
      <c r="H67">
        <v>21.97</v>
      </c>
      <c r="I67">
        <v>25.87</v>
      </c>
      <c r="J67">
        <v>32.01</v>
      </c>
      <c r="K67">
        <v>36.44</v>
      </c>
      <c r="L67">
        <v>38.64</v>
      </c>
    </row>
    <row r="68" spans="2:12" x14ac:dyDescent="0.5">
      <c r="C68">
        <v>18.809999999999999</v>
      </c>
      <c r="D68">
        <v>26.58</v>
      </c>
      <c r="E68">
        <v>29.88</v>
      </c>
      <c r="F68">
        <v>29.2</v>
      </c>
      <c r="G68">
        <v>29.47</v>
      </c>
      <c r="H68">
        <v>21.01</v>
      </c>
      <c r="I68">
        <v>26.26</v>
      </c>
      <c r="J68">
        <v>31.58</v>
      </c>
      <c r="K68">
        <v>34.340000000000003</v>
      </c>
      <c r="L68">
        <v>37.31</v>
      </c>
    </row>
    <row r="69" spans="2:12" x14ac:dyDescent="0.5">
      <c r="C69">
        <v>18.64</v>
      </c>
      <c r="D69">
        <v>27.01</v>
      </c>
      <c r="E69">
        <v>30.36</v>
      </c>
      <c r="F69">
        <v>29.4</v>
      </c>
      <c r="G69">
        <v>29.42</v>
      </c>
      <c r="H69">
        <v>21.77</v>
      </c>
      <c r="I69">
        <v>26.22</v>
      </c>
      <c r="J69">
        <v>31.63</v>
      </c>
      <c r="K69">
        <v>35.24</v>
      </c>
      <c r="L69">
        <v>38.19</v>
      </c>
    </row>
    <row r="70" spans="2:12" x14ac:dyDescent="0.5">
      <c r="C70">
        <v>19.25</v>
      </c>
      <c r="D70">
        <v>26.54</v>
      </c>
      <c r="E70">
        <v>30.01</v>
      </c>
      <c r="F70">
        <v>29.39</v>
      </c>
      <c r="G70">
        <v>28.45</v>
      </c>
      <c r="H70">
        <v>20.97</v>
      </c>
      <c r="I70">
        <v>24.83</v>
      </c>
      <c r="J70">
        <v>31.81</v>
      </c>
      <c r="K70">
        <v>34.130000000000003</v>
      </c>
      <c r="L70">
        <v>37.07</v>
      </c>
    </row>
    <row r="71" spans="2:12" x14ac:dyDescent="0.5">
      <c r="C71">
        <v>18.57</v>
      </c>
      <c r="D71">
        <v>26.46</v>
      </c>
      <c r="E71">
        <v>30.03</v>
      </c>
      <c r="F71">
        <v>29.83</v>
      </c>
      <c r="G71">
        <v>29.17</v>
      </c>
      <c r="H71">
        <v>21.58</v>
      </c>
      <c r="I71">
        <v>25.24</v>
      </c>
      <c r="J71">
        <v>31.26</v>
      </c>
      <c r="K71">
        <v>34.65</v>
      </c>
      <c r="L71">
        <v>37.270000000000003</v>
      </c>
    </row>
    <row r="72" spans="2:12" x14ac:dyDescent="0.5">
      <c r="E72">
        <v>28.97</v>
      </c>
      <c r="F72">
        <v>30</v>
      </c>
      <c r="G72">
        <v>29.59</v>
      </c>
      <c r="H72">
        <v>21.15</v>
      </c>
      <c r="J72">
        <v>31.35</v>
      </c>
      <c r="K72">
        <v>34.119999999999997</v>
      </c>
      <c r="L72">
        <v>35.69</v>
      </c>
    </row>
    <row r="74" spans="2:12" x14ac:dyDescent="0.5">
      <c r="C74">
        <f>AVERAGE(C67:C72)</f>
        <v>19.115999999999996</v>
      </c>
      <c r="D74">
        <f t="shared" ref="D74:L74" si="16">AVERAGE(D67:D72)</f>
        <v>26.770000000000003</v>
      </c>
      <c r="E74">
        <f t="shared" si="16"/>
        <v>29.930000000000003</v>
      </c>
      <c r="F74">
        <f t="shared" si="16"/>
        <v>29.650000000000002</v>
      </c>
      <c r="G74">
        <f t="shared" si="16"/>
        <v>29.426666666666666</v>
      </c>
      <c r="H74">
        <f t="shared" si="16"/>
        <v>21.408333333333331</v>
      </c>
      <c r="I74">
        <f t="shared" si="16"/>
        <v>25.683999999999997</v>
      </c>
      <c r="J74">
        <f t="shared" si="16"/>
        <v>31.606666666666666</v>
      </c>
      <c r="K74">
        <f t="shared" si="16"/>
        <v>34.82</v>
      </c>
      <c r="L74">
        <f t="shared" si="16"/>
        <v>37.361666666666672</v>
      </c>
    </row>
    <row r="75" spans="2:12" x14ac:dyDescent="0.5">
      <c r="C75">
        <f>C74</f>
        <v>19.115999999999996</v>
      </c>
      <c r="D75">
        <f t="shared" ref="D75:G75" si="17">D74</f>
        <v>26.770000000000003</v>
      </c>
      <c r="E75">
        <f t="shared" si="17"/>
        <v>29.930000000000003</v>
      </c>
      <c r="F75">
        <f t="shared" si="17"/>
        <v>29.650000000000002</v>
      </c>
      <c r="G75">
        <f t="shared" si="17"/>
        <v>29.426666666666666</v>
      </c>
      <c r="H75">
        <f>H74+8</f>
        <v>29.408333333333331</v>
      </c>
      <c r="I75">
        <f t="shared" ref="I75:L75" si="18">I74+8</f>
        <v>33.683999999999997</v>
      </c>
      <c r="J75">
        <f t="shared" si="18"/>
        <v>39.606666666666669</v>
      </c>
      <c r="K75">
        <f t="shared" si="18"/>
        <v>42.82</v>
      </c>
      <c r="L75">
        <f t="shared" si="18"/>
        <v>45.361666666666672</v>
      </c>
    </row>
    <row r="76" spans="2:12" x14ac:dyDescent="0.5">
      <c r="C76">
        <f>_xlfn.STDEV.P(C67:C72)</f>
        <v>0.64217131670606353</v>
      </c>
      <c r="D76">
        <f t="shared" ref="D76:L76" si="19">_xlfn.STDEV.P(D67:D72)</f>
        <v>0.31074104975043215</v>
      </c>
      <c r="E76">
        <f t="shared" si="19"/>
        <v>0.46285346853332915</v>
      </c>
      <c r="F76">
        <f t="shared" si="19"/>
        <v>0.33476359818036744</v>
      </c>
      <c r="G76">
        <f t="shared" si="19"/>
        <v>0.5938761561882151</v>
      </c>
      <c r="H76">
        <f t="shared" si="19"/>
        <v>0.38585043158658677</v>
      </c>
      <c r="I76">
        <f t="shared" si="19"/>
        <v>0.56216011953890954</v>
      </c>
      <c r="J76">
        <f t="shared" si="19"/>
        <v>0.25538641745837143</v>
      </c>
      <c r="K76">
        <f t="shared" si="19"/>
        <v>0.81916624279405703</v>
      </c>
      <c r="L76">
        <f t="shared" si="19"/>
        <v>0.93192304164858819</v>
      </c>
    </row>
  </sheetData>
  <mergeCells count="5">
    <mergeCell ref="B1:L1"/>
    <mergeCell ref="B18:L18"/>
    <mergeCell ref="B33:L33"/>
    <mergeCell ref="B48:L48"/>
    <mergeCell ref="B63:L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8318-B2D7-43DA-841A-A87DBB6D7043}">
  <dimension ref="B1:Z74"/>
  <sheetViews>
    <sheetView topLeftCell="I1" zoomScale="77" workbookViewId="0">
      <selection activeCell="N22" sqref="N22"/>
    </sheetView>
  </sheetViews>
  <sheetFormatPr defaultRowHeight="14.35" x14ac:dyDescent="0.5"/>
  <sheetData>
    <row r="1" spans="2:26" x14ac:dyDescent="0.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26" x14ac:dyDescent="0.5">
      <c r="B2" t="s">
        <v>1</v>
      </c>
      <c r="C2">
        <v>74</v>
      </c>
      <c r="D2">
        <v>69</v>
      </c>
      <c r="E2">
        <v>62</v>
      </c>
      <c r="F2">
        <v>57</v>
      </c>
      <c r="G2">
        <v>53</v>
      </c>
      <c r="H2">
        <v>50</v>
      </c>
      <c r="I2">
        <v>47</v>
      </c>
      <c r="J2">
        <v>45</v>
      </c>
      <c r="K2">
        <v>43</v>
      </c>
      <c r="L2">
        <v>41</v>
      </c>
      <c r="Q2">
        <v>73</v>
      </c>
      <c r="R2">
        <v>120</v>
      </c>
      <c r="S2">
        <v>164</v>
      </c>
      <c r="T2">
        <v>256</v>
      </c>
      <c r="U2">
        <v>353</v>
      </c>
      <c r="V2">
        <v>427</v>
      </c>
      <c r="W2">
        <v>522</v>
      </c>
      <c r="X2">
        <v>586</v>
      </c>
      <c r="Y2">
        <v>638</v>
      </c>
      <c r="Z2">
        <v>705</v>
      </c>
    </row>
    <row r="3" spans="2:26" x14ac:dyDescent="0.5">
      <c r="B3" t="s">
        <v>2</v>
      </c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 t="s">
        <v>8</v>
      </c>
      <c r="Q3">
        <v>3.3899999999999997</v>
      </c>
      <c r="R3">
        <v>7.347999999999999</v>
      </c>
      <c r="S3">
        <v>14.668000000000001</v>
      </c>
      <c r="T3">
        <v>16.791999999999998</v>
      </c>
      <c r="U3">
        <v>18.149999999999999</v>
      </c>
      <c r="V3">
        <v>22.728000000000002</v>
      </c>
      <c r="W3">
        <v>30.892000000000003</v>
      </c>
      <c r="X3">
        <v>35.676000000000002</v>
      </c>
      <c r="Y3">
        <v>36.595999999999997</v>
      </c>
      <c r="Z3">
        <v>40.410000000000004</v>
      </c>
    </row>
    <row r="4" spans="2:26" x14ac:dyDescent="0.5">
      <c r="B4" t="s">
        <v>3</v>
      </c>
      <c r="C4">
        <v>3</v>
      </c>
      <c r="D4">
        <v>4</v>
      </c>
      <c r="E4">
        <v>6</v>
      </c>
      <c r="F4">
        <v>8</v>
      </c>
      <c r="G4">
        <v>10</v>
      </c>
      <c r="H4">
        <v>12</v>
      </c>
      <c r="I4">
        <v>14</v>
      </c>
      <c r="J4">
        <v>16</v>
      </c>
      <c r="K4">
        <v>18</v>
      </c>
      <c r="L4">
        <v>20</v>
      </c>
      <c r="P4" t="s">
        <v>9</v>
      </c>
      <c r="Q4">
        <v>4.875</v>
      </c>
      <c r="R4">
        <v>13.368333333333331</v>
      </c>
      <c r="S4">
        <v>20.203333333333337</v>
      </c>
      <c r="T4">
        <v>21.176666666666666</v>
      </c>
      <c r="U4">
        <v>22.083333333333332</v>
      </c>
      <c r="V4">
        <v>22.681666666666665</v>
      </c>
      <c r="W4">
        <v>28.031666666666666</v>
      </c>
      <c r="X4">
        <v>33.37166666666667</v>
      </c>
      <c r="Y4">
        <v>36.596666666666664</v>
      </c>
      <c r="Z4">
        <v>40.076666666666668</v>
      </c>
    </row>
    <row r="5" spans="2:26" x14ac:dyDescent="0.5">
      <c r="C5">
        <v>4.41</v>
      </c>
      <c r="D5">
        <v>9.32</v>
      </c>
      <c r="E5">
        <v>16.690000000000001</v>
      </c>
      <c r="F5">
        <v>17.38</v>
      </c>
      <c r="G5">
        <v>19.87</v>
      </c>
      <c r="H5">
        <v>16.34</v>
      </c>
      <c r="I5">
        <v>27.86</v>
      </c>
      <c r="J5">
        <v>30.61</v>
      </c>
      <c r="K5">
        <v>31.08</v>
      </c>
      <c r="L5">
        <v>34.520000000000003</v>
      </c>
      <c r="P5" t="s">
        <v>10</v>
      </c>
      <c r="Q5">
        <v>8.2900000000000009</v>
      </c>
      <c r="R5">
        <v>20.506666666666664</v>
      </c>
      <c r="S5">
        <v>25.59</v>
      </c>
      <c r="T5">
        <v>26.320000000000004</v>
      </c>
      <c r="U5">
        <v>26.106000000000002</v>
      </c>
      <c r="V5">
        <v>25.21</v>
      </c>
      <c r="W5">
        <v>27.364000000000001</v>
      </c>
      <c r="X5">
        <v>33.061999999999998</v>
      </c>
      <c r="Y5">
        <v>37.683999999999997</v>
      </c>
      <c r="Z5">
        <v>38.256</v>
      </c>
    </row>
    <row r="6" spans="2:26" x14ac:dyDescent="0.5">
      <c r="C6">
        <v>3.38</v>
      </c>
      <c r="D6">
        <v>7.61</v>
      </c>
      <c r="E6">
        <v>14.22</v>
      </c>
      <c r="F6">
        <v>15.7</v>
      </c>
      <c r="G6">
        <v>18.05</v>
      </c>
      <c r="H6">
        <v>13.62</v>
      </c>
      <c r="I6">
        <v>22.59</v>
      </c>
      <c r="J6">
        <v>27.79</v>
      </c>
      <c r="K6">
        <v>27.15</v>
      </c>
      <c r="L6">
        <v>32.979999999999997</v>
      </c>
      <c r="P6" t="s">
        <v>11</v>
      </c>
      <c r="Q6">
        <v>13.946000000000002</v>
      </c>
      <c r="R6">
        <v>22.84</v>
      </c>
      <c r="S6">
        <v>26.990000000000002</v>
      </c>
      <c r="T6">
        <v>26.657999999999998</v>
      </c>
      <c r="U6">
        <v>26.486000000000001</v>
      </c>
      <c r="V6">
        <v>26.496000000000002</v>
      </c>
      <c r="W6">
        <v>28.360000000000003</v>
      </c>
      <c r="X6">
        <v>33.064</v>
      </c>
      <c r="Y6">
        <v>36.935000000000002</v>
      </c>
      <c r="Z6">
        <v>39.448333333333338</v>
      </c>
    </row>
    <row r="7" spans="2:26" x14ac:dyDescent="0.5">
      <c r="C7">
        <v>3.09</v>
      </c>
      <c r="D7">
        <v>6.75</v>
      </c>
      <c r="E7">
        <v>13.89</v>
      </c>
      <c r="F7">
        <v>15.74</v>
      </c>
      <c r="G7">
        <v>18.52</v>
      </c>
      <c r="H7">
        <v>13.94</v>
      </c>
      <c r="I7">
        <v>21.75</v>
      </c>
      <c r="J7">
        <v>23.91</v>
      </c>
      <c r="K7">
        <v>28.8</v>
      </c>
      <c r="L7">
        <v>32.159999999999997</v>
      </c>
      <c r="P7" t="s">
        <v>12</v>
      </c>
      <c r="Q7">
        <v>10.491666666666667</v>
      </c>
      <c r="R7">
        <v>17.18</v>
      </c>
      <c r="S7">
        <v>23.862000000000002</v>
      </c>
      <c r="T7">
        <v>22.346666666666664</v>
      </c>
      <c r="U7">
        <v>24.762</v>
      </c>
      <c r="V7">
        <v>24.173333333333332</v>
      </c>
      <c r="W7">
        <v>26.756666666666668</v>
      </c>
      <c r="X7">
        <v>31.093333333333334</v>
      </c>
      <c r="Y7">
        <v>34.543333333333337</v>
      </c>
      <c r="Z7">
        <v>35.948333333333338</v>
      </c>
    </row>
    <row r="8" spans="2:26" x14ac:dyDescent="0.5">
      <c r="C8">
        <v>3.07</v>
      </c>
      <c r="D8">
        <v>6.65</v>
      </c>
      <c r="E8">
        <v>14.61</v>
      </c>
      <c r="F8">
        <v>17.059999999999999</v>
      </c>
      <c r="G8">
        <v>16.91</v>
      </c>
      <c r="H8">
        <v>14.47</v>
      </c>
      <c r="I8">
        <v>21.75</v>
      </c>
      <c r="J8">
        <v>28.65</v>
      </c>
      <c r="K8">
        <v>27.61</v>
      </c>
      <c r="L8">
        <v>32.18</v>
      </c>
    </row>
    <row r="9" spans="2:26" x14ac:dyDescent="0.5">
      <c r="C9">
        <v>3</v>
      </c>
      <c r="D9">
        <v>6.41</v>
      </c>
      <c r="E9">
        <v>13.93</v>
      </c>
      <c r="F9">
        <v>18.079999999999998</v>
      </c>
      <c r="G9">
        <v>17.399999999999999</v>
      </c>
      <c r="H9">
        <v>15.27</v>
      </c>
      <c r="I9">
        <v>20.51</v>
      </c>
      <c r="J9">
        <v>27.42</v>
      </c>
      <c r="K9">
        <v>28.34</v>
      </c>
      <c r="L9">
        <v>30.21</v>
      </c>
    </row>
    <row r="10" spans="2:26" x14ac:dyDescent="0.5">
      <c r="C10">
        <v>2.88</v>
      </c>
      <c r="D10">
        <v>6.55</v>
      </c>
      <c r="E10">
        <v>14.4</v>
      </c>
      <c r="F10">
        <v>19.13</v>
      </c>
      <c r="G10">
        <v>18.100000000000001</v>
      </c>
      <c r="H10">
        <v>14.79</v>
      </c>
      <c r="I10">
        <v>22.16</v>
      </c>
      <c r="J10">
        <v>28.63</v>
      </c>
      <c r="K10">
        <v>32.06</v>
      </c>
      <c r="L10">
        <v>32.07</v>
      </c>
    </row>
    <row r="12" spans="2:26" x14ac:dyDescent="0.5">
      <c r="C12">
        <f>AVERAGE(C5:C9)</f>
        <v>3.3899999999999997</v>
      </c>
      <c r="D12">
        <f t="shared" ref="D12:L12" si="0">AVERAGE(D5:D9)</f>
        <v>7.347999999999999</v>
      </c>
      <c r="E12">
        <f t="shared" si="0"/>
        <v>14.668000000000001</v>
      </c>
      <c r="F12">
        <f t="shared" si="0"/>
        <v>16.791999999999998</v>
      </c>
      <c r="G12">
        <f t="shared" si="0"/>
        <v>18.149999999999999</v>
      </c>
      <c r="H12">
        <f t="shared" si="0"/>
        <v>14.728</v>
      </c>
      <c r="I12">
        <f t="shared" si="0"/>
        <v>22.892000000000003</v>
      </c>
      <c r="J12">
        <f t="shared" si="0"/>
        <v>27.675999999999998</v>
      </c>
      <c r="K12">
        <f t="shared" si="0"/>
        <v>28.595999999999997</v>
      </c>
      <c r="L12">
        <f t="shared" si="0"/>
        <v>32.410000000000004</v>
      </c>
    </row>
    <row r="13" spans="2:26" x14ac:dyDescent="0.5">
      <c r="C13">
        <f>C12</f>
        <v>3.3899999999999997</v>
      </c>
      <c r="D13">
        <f t="shared" ref="D13:G13" si="1">D12</f>
        <v>7.347999999999999</v>
      </c>
      <c r="E13">
        <f t="shared" si="1"/>
        <v>14.668000000000001</v>
      </c>
      <c r="F13">
        <f t="shared" si="1"/>
        <v>16.791999999999998</v>
      </c>
      <c r="G13">
        <f t="shared" si="1"/>
        <v>18.149999999999999</v>
      </c>
      <c r="H13">
        <f>H12+8</f>
        <v>22.728000000000002</v>
      </c>
      <c r="I13">
        <f t="shared" ref="I13:L13" si="2">I12+8</f>
        <v>30.892000000000003</v>
      </c>
      <c r="J13">
        <f t="shared" si="2"/>
        <v>35.676000000000002</v>
      </c>
      <c r="K13">
        <f t="shared" si="2"/>
        <v>36.595999999999997</v>
      </c>
      <c r="L13">
        <f t="shared" si="2"/>
        <v>40.410000000000004</v>
      </c>
    </row>
    <row r="14" spans="2:26" x14ac:dyDescent="0.5">
      <c r="C14">
        <f>_xlfn.STDEV.P(C5:C9)</f>
        <v>0.52630789467763328</v>
      </c>
      <c r="D14">
        <f t="shared" ref="D14:L14" si="3">_xlfn.STDEV.P(D5:D9)</f>
        <v>1.0660281422176514</v>
      </c>
      <c r="E14">
        <f t="shared" si="3"/>
        <v>1.043310116887592</v>
      </c>
      <c r="F14">
        <f t="shared" si="3"/>
        <v>0.9354870389267822</v>
      </c>
      <c r="G14">
        <f t="shared" si="3"/>
        <v>1.0203332788848949</v>
      </c>
      <c r="H14">
        <f t="shared" si="3"/>
        <v>0.98055902423056618</v>
      </c>
      <c r="I14">
        <f t="shared" si="3"/>
        <v>2.57116627233632</v>
      </c>
      <c r="J14">
        <f t="shared" si="3"/>
        <v>2.1825819572240577</v>
      </c>
      <c r="K14">
        <f t="shared" si="3"/>
        <v>1.3667860110492789</v>
      </c>
      <c r="L14">
        <f t="shared" si="3"/>
        <v>1.3951630729058169</v>
      </c>
    </row>
    <row r="16" spans="2:26" x14ac:dyDescent="0.5">
      <c r="B16" s="5" t="s">
        <v>4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5">
      <c r="B17" t="s">
        <v>1</v>
      </c>
      <c r="C17">
        <v>74</v>
      </c>
      <c r="D17">
        <v>69</v>
      </c>
      <c r="E17">
        <v>62</v>
      </c>
      <c r="F17">
        <v>57</v>
      </c>
      <c r="G17">
        <v>53</v>
      </c>
      <c r="H17">
        <v>50</v>
      </c>
      <c r="I17">
        <v>47</v>
      </c>
      <c r="J17">
        <v>45</v>
      </c>
      <c r="K17">
        <v>43</v>
      </c>
      <c r="L17">
        <v>41</v>
      </c>
    </row>
    <row r="18" spans="2:12" x14ac:dyDescent="0.5">
      <c r="B18" t="s">
        <v>2</v>
      </c>
      <c r="C18">
        <v>73</v>
      </c>
      <c r="D18">
        <v>120</v>
      </c>
      <c r="E18">
        <v>164</v>
      </c>
      <c r="F18">
        <v>256</v>
      </c>
      <c r="G18">
        <v>353</v>
      </c>
      <c r="H18">
        <v>427</v>
      </c>
      <c r="I18">
        <v>522</v>
      </c>
      <c r="J18">
        <v>586</v>
      </c>
      <c r="K18">
        <v>638</v>
      </c>
      <c r="L18">
        <v>705</v>
      </c>
    </row>
    <row r="19" spans="2:12" x14ac:dyDescent="0.5">
      <c r="B19" t="s">
        <v>3</v>
      </c>
      <c r="C19">
        <v>3</v>
      </c>
      <c r="D19">
        <v>4</v>
      </c>
      <c r="E19">
        <v>6</v>
      </c>
      <c r="F19">
        <v>8</v>
      </c>
      <c r="G19">
        <v>10</v>
      </c>
      <c r="H19">
        <v>12</v>
      </c>
      <c r="I19">
        <v>14</v>
      </c>
      <c r="J19">
        <v>16</v>
      </c>
      <c r="K19">
        <v>18</v>
      </c>
      <c r="L19">
        <v>20</v>
      </c>
    </row>
    <row r="20" spans="2:12" x14ac:dyDescent="0.5">
      <c r="C20">
        <v>6.88</v>
      </c>
      <c r="D20">
        <v>15.2</v>
      </c>
      <c r="E20">
        <v>21.9</v>
      </c>
      <c r="F20">
        <v>21.92</v>
      </c>
      <c r="G20">
        <v>22.2</v>
      </c>
      <c r="H20">
        <v>15.48</v>
      </c>
      <c r="I20">
        <v>19.32</v>
      </c>
      <c r="J20">
        <v>28.48</v>
      </c>
      <c r="K20">
        <v>30.27</v>
      </c>
      <c r="L20">
        <v>34.31</v>
      </c>
    </row>
    <row r="21" spans="2:12" x14ac:dyDescent="0.5">
      <c r="C21">
        <v>5.46</v>
      </c>
      <c r="D21">
        <v>13.42</v>
      </c>
      <c r="E21">
        <v>21.11</v>
      </c>
      <c r="F21">
        <v>21.73</v>
      </c>
      <c r="G21">
        <v>21.16</v>
      </c>
      <c r="H21">
        <v>13.85</v>
      </c>
      <c r="I21">
        <v>20.82</v>
      </c>
      <c r="J21">
        <v>26.1</v>
      </c>
      <c r="K21">
        <v>27.69</v>
      </c>
      <c r="L21">
        <v>30.3</v>
      </c>
    </row>
    <row r="22" spans="2:12" x14ac:dyDescent="0.5">
      <c r="C22">
        <v>4.37</v>
      </c>
      <c r="D22">
        <v>13.26</v>
      </c>
      <c r="E22">
        <v>18.36</v>
      </c>
      <c r="F22">
        <v>20.47</v>
      </c>
      <c r="G22">
        <v>21.67</v>
      </c>
      <c r="H22">
        <v>13.9</v>
      </c>
      <c r="I22">
        <v>20.64</v>
      </c>
      <c r="J22">
        <v>26.23</v>
      </c>
      <c r="K22">
        <v>28.8</v>
      </c>
      <c r="L22">
        <v>31.56</v>
      </c>
    </row>
    <row r="23" spans="2:12" x14ac:dyDescent="0.5">
      <c r="C23">
        <v>4.3600000000000003</v>
      </c>
      <c r="D23">
        <v>14.62</v>
      </c>
      <c r="E23">
        <v>19.03</v>
      </c>
      <c r="F23">
        <v>19.55</v>
      </c>
      <c r="G23">
        <v>22.44</v>
      </c>
      <c r="H23">
        <v>15.14</v>
      </c>
      <c r="I23">
        <v>19.600000000000001</v>
      </c>
      <c r="J23">
        <v>23.84</v>
      </c>
      <c r="K23">
        <v>28.09</v>
      </c>
      <c r="L23">
        <v>31.09</v>
      </c>
    </row>
    <row r="24" spans="2:12" x14ac:dyDescent="0.5">
      <c r="C24">
        <v>4.16</v>
      </c>
      <c r="D24">
        <v>14.67</v>
      </c>
      <c r="E24">
        <v>20.309999999999999</v>
      </c>
      <c r="F24">
        <v>21.73</v>
      </c>
      <c r="G24">
        <v>22.53</v>
      </c>
      <c r="H24">
        <v>15.13</v>
      </c>
      <c r="I24">
        <v>19.8</v>
      </c>
      <c r="J24">
        <v>21.17</v>
      </c>
      <c r="K24">
        <v>28.86</v>
      </c>
      <c r="L24">
        <v>31.91</v>
      </c>
    </row>
    <row r="25" spans="2:12" x14ac:dyDescent="0.5">
      <c r="C25">
        <v>4.0199999999999996</v>
      </c>
      <c r="D25">
        <v>9.0399999999999991</v>
      </c>
      <c r="E25">
        <v>20.51</v>
      </c>
      <c r="F25">
        <v>21.66</v>
      </c>
      <c r="G25">
        <v>22.5</v>
      </c>
      <c r="H25">
        <v>14.59</v>
      </c>
      <c r="I25">
        <v>20.010000000000002</v>
      </c>
      <c r="J25">
        <v>26.41</v>
      </c>
      <c r="K25">
        <v>27.87</v>
      </c>
      <c r="L25">
        <v>33.29</v>
      </c>
    </row>
    <row r="27" spans="2:12" x14ac:dyDescent="0.5">
      <c r="C27">
        <f>AVERAGE(C20:C25)</f>
        <v>4.875</v>
      </c>
      <c r="D27">
        <f t="shared" ref="D27:L27" si="4">AVERAGE(D20:D25)</f>
        <v>13.368333333333331</v>
      </c>
      <c r="E27">
        <f t="shared" si="4"/>
        <v>20.203333333333337</v>
      </c>
      <c r="F27">
        <f t="shared" si="4"/>
        <v>21.176666666666666</v>
      </c>
      <c r="G27">
        <f t="shared" si="4"/>
        <v>22.083333333333332</v>
      </c>
      <c r="H27">
        <f t="shared" si="4"/>
        <v>14.681666666666667</v>
      </c>
      <c r="I27">
        <f t="shared" si="4"/>
        <v>20.031666666666666</v>
      </c>
      <c r="J27">
        <f t="shared" si="4"/>
        <v>25.37166666666667</v>
      </c>
      <c r="K27">
        <f t="shared" si="4"/>
        <v>28.596666666666668</v>
      </c>
      <c r="L27">
        <f t="shared" si="4"/>
        <v>32.076666666666668</v>
      </c>
    </row>
    <row r="28" spans="2:12" x14ac:dyDescent="0.5">
      <c r="C28">
        <f>C27</f>
        <v>4.875</v>
      </c>
      <c r="D28">
        <f t="shared" ref="D28:G28" si="5">D27</f>
        <v>13.368333333333331</v>
      </c>
      <c r="E28">
        <f t="shared" si="5"/>
        <v>20.203333333333337</v>
      </c>
      <c r="F28">
        <f t="shared" si="5"/>
        <v>21.176666666666666</v>
      </c>
      <c r="G28">
        <f t="shared" si="5"/>
        <v>22.083333333333332</v>
      </c>
      <c r="H28">
        <f>H27+8</f>
        <v>22.681666666666665</v>
      </c>
      <c r="I28">
        <f t="shared" ref="I28:L28" si="6">I27+8</f>
        <v>28.031666666666666</v>
      </c>
      <c r="J28">
        <f t="shared" si="6"/>
        <v>33.37166666666667</v>
      </c>
      <c r="K28">
        <f t="shared" si="6"/>
        <v>36.596666666666664</v>
      </c>
      <c r="L28">
        <f t="shared" si="6"/>
        <v>40.076666666666668</v>
      </c>
    </row>
    <row r="29" spans="2:12" x14ac:dyDescent="0.5">
      <c r="C29">
        <f>_xlfn.STDEV.P(C20:C25)</f>
        <v>1.0103423512189655</v>
      </c>
      <c r="D29">
        <f t="shared" ref="D29:L29" si="7">_xlfn.STDEV.P(D20:D25)</f>
        <v>2.0560837909860656</v>
      </c>
      <c r="E29">
        <f t="shared" si="7"/>
        <v>1.1958771768966163</v>
      </c>
      <c r="F29">
        <f t="shared" si="7"/>
        <v>0.87024262261867102</v>
      </c>
      <c r="G29">
        <f t="shared" si="7"/>
        <v>0.50618398060608583</v>
      </c>
      <c r="H29">
        <f t="shared" si="7"/>
        <v>0.62709426900763698</v>
      </c>
      <c r="I29">
        <f t="shared" si="7"/>
        <v>0.53828173127296652</v>
      </c>
      <c r="J29">
        <f t="shared" si="7"/>
        <v>2.3096566603910826</v>
      </c>
      <c r="K29">
        <f t="shared" si="7"/>
        <v>0.86771090935992123</v>
      </c>
      <c r="L29">
        <f t="shared" si="7"/>
        <v>1.3468935452448436</v>
      </c>
    </row>
    <row r="31" spans="2:12" x14ac:dyDescent="0.5">
      <c r="B31" s="5" t="s">
        <v>5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x14ac:dyDescent="0.5">
      <c r="B32" t="s">
        <v>1</v>
      </c>
      <c r="C32">
        <v>74</v>
      </c>
      <c r="D32">
        <v>69</v>
      </c>
      <c r="E32">
        <v>62</v>
      </c>
      <c r="F32">
        <v>57</v>
      </c>
      <c r="G32">
        <v>53</v>
      </c>
      <c r="H32">
        <v>50</v>
      </c>
      <c r="I32">
        <v>47</v>
      </c>
      <c r="J32">
        <v>45</v>
      </c>
      <c r="K32">
        <v>43</v>
      </c>
      <c r="L32">
        <v>41</v>
      </c>
    </row>
    <row r="33" spans="2:12" x14ac:dyDescent="0.5">
      <c r="B33" t="s">
        <v>2</v>
      </c>
      <c r="C33">
        <v>73</v>
      </c>
      <c r="D33">
        <v>120</v>
      </c>
      <c r="E33">
        <v>164</v>
      </c>
      <c r="F33">
        <v>256</v>
      </c>
      <c r="G33">
        <v>353</v>
      </c>
      <c r="H33">
        <v>427</v>
      </c>
      <c r="I33">
        <v>522</v>
      </c>
      <c r="J33">
        <v>586</v>
      </c>
      <c r="K33">
        <v>638</v>
      </c>
      <c r="L33">
        <v>705</v>
      </c>
    </row>
    <row r="34" spans="2:12" x14ac:dyDescent="0.5">
      <c r="B34" t="s">
        <v>3</v>
      </c>
      <c r="C34">
        <v>3</v>
      </c>
      <c r="D34">
        <v>4</v>
      </c>
      <c r="E34">
        <v>6</v>
      </c>
      <c r="F34">
        <v>8</v>
      </c>
      <c r="G34">
        <v>10</v>
      </c>
      <c r="H34">
        <v>12</v>
      </c>
      <c r="I34">
        <v>14</v>
      </c>
      <c r="J34">
        <v>16</v>
      </c>
      <c r="K34">
        <v>18</v>
      </c>
      <c r="L34">
        <v>20</v>
      </c>
    </row>
    <row r="35" spans="2:12" x14ac:dyDescent="0.5">
      <c r="C35">
        <v>13.16</v>
      </c>
      <c r="D35">
        <v>23.05</v>
      </c>
      <c r="E35">
        <v>27.59</v>
      </c>
      <c r="F35">
        <v>27.67</v>
      </c>
      <c r="G35">
        <v>27.55</v>
      </c>
      <c r="H35">
        <v>17.45</v>
      </c>
      <c r="I35">
        <v>21.19</v>
      </c>
      <c r="J35">
        <v>25.04</v>
      </c>
      <c r="K35">
        <v>31.37</v>
      </c>
      <c r="L35">
        <v>31.7</v>
      </c>
    </row>
    <row r="36" spans="2:12" x14ac:dyDescent="0.5">
      <c r="C36">
        <v>11.78</v>
      </c>
      <c r="D36">
        <v>20.420000000000002</v>
      </c>
      <c r="E36">
        <v>24.86</v>
      </c>
      <c r="F36">
        <v>25.96</v>
      </c>
      <c r="G36">
        <v>26.52</v>
      </c>
      <c r="H36">
        <v>16.77</v>
      </c>
      <c r="I36">
        <v>18.54</v>
      </c>
      <c r="J36">
        <v>24.07</v>
      </c>
      <c r="K36">
        <v>27.15</v>
      </c>
      <c r="L36">
        <v>29.48</v>
      </c>
    </row>
    <row r="37" spans="2:12" x14ac:dyDescent="0.5">
      <c r="C37">
        <v>7.15</v>
      </c>
      <c r="D37">
        <v>17.350000000000001</v>
      </c>
      <c r="E37">
        <v>23.99</v>
      </c>
      <c r="F37">
        <v>26.61</v>
      </c>
      <c r="G37">
        <v>25.48</v>
      </c>
      <c r="H37">
        <v>16.98</v>
      </c>
      <c r="I37">
        <v>18.649999999999999</v>
      </c>
      <c r="J37">
        <v>24.31</v>
      </c>
      <c r="K37">
        <v>28.49</v>
      </c>
      <c r="L37">
        <v>29.36</v>
      </c>
    </row>
    <row r="38" spans="2:12" x14ac:dyDescent="0.5">
      <c r="C38">
        <v>5.74</v>
      </c>
      <c r="D38">
        <v>20.28</v>
      </c>
      <c r="E38">
        <v>25.35</v>
      </c>
      <c r="F38">
        <v>25.28</v>
      </c>
      <c r="G38">
        <v>25.5</v>
      </c>
      <c r="H38">
        <v>17.22</v>
      </c>
      <c r="I38">
        <v>18.3</v>
      </c>
      <c r="J38">
        <v>25.75</v>
      </c>
      <c r="K38">
        <v>30.35</v>
      </c>
      <c r="L38">
        <v>30.9</v>
      </c>
    </row>
    <row r="39" spans="2:12" x14ac:dyDescent="0.5">
      <c r="C39">
        <v>4.67</v>
      </c>
      <c r="D39">
        <v>21.76</v>
      </c>
      <c r="E39">
        <v>25.65</v>
      </c>
      <c r="F39">
        <v>25.93</v>
      </c>
      <c r="G39">
        <v>25.48</v>
      </c>
      <c r="H39">
        <v>17.63</v>
      </c>
      <c r="I39">
        <v>20.14</v>
      </c>
      <c r="J39">
        <v>26.14</v>
      </c>
      <c r="K39">
        <v>31.06</v>
      </c>
      <c r="L39">
        <v>29.84</v>
      </c>
    </row>
    <row r="40" spans="2:12" x14ac:dyDescent="0.5">
      <c r="C40">
        <v>7.24</v>
      </c>
      <c r="D40">
        <v>20.18</v>
      </c>
      <c r="E40">
        <v>26.1</v>
      </c>
      <c r="F40">
        <v>26.47</v>
      </c>
    </row>
    <row r="42" spans="2:12" x14ac:dyDescent="0.5">
      <c r="C42">
        <f>AVERAGE(C35:C40)</f>
        <v>8.2900000000000009</v>
      </c>
      <c r="D42">
        <f t="shared" ref="D42:L42" si="8">AVERAGE(D35:D40)</f>
        <v>20.506666666666664</v>
      </c>
      <c r="E42">
        <f t="shared" si="8"/>
        <v>25.59</v>
      </c>
      <c r="F42">
        <f t="shared" si="8"/>
        <v>26.320000000000004</v>
      </c>
      <c r="G42">
        <f t="shared" si="8"/>
        <v>26.106000000000002</v>
      </c>
      <c r="H42">
        <f t="shared" si="8"/>
        <v>17.21</v>
      </c>
      <c r="I42">
        <f t="shared" si="8"/>
        <v>19.364000000000001</v>
      </c>
      <c r="J42">
        <f t="shared" si="8"/>
        <v>25.062000000000001</v>
      </c>
      <c r="K42">
        <f t="shared" si="8"/>
        <v>29.683999999999997</v>
      </c>
      <c r="L42">
        <f t="shared" si="8"/>
        <v>30.256</v>
      </c>
    </row>
    <row r="43" spans="2:12" x14ac:dyDescent="0.5">
      <c r="C43">
        <f>C42</f>
        <v>8.2900000000000009</v>
      </c>
      <c r="D43">
        <f t="shared" ref="D43:G43" si="9">D42</f>
        <v>20.506666666666664</v>
      </c>
      <c r="E43">
        <f t="shared" si="9"/>
        <v>25.59</v>
      </c>
      <c r="F43">
        <f t="shared" si="9"/>
        <v>26.320000000000004</v>
      </c>
      <c r="G43">
        <f t="shared" si="9"/>
        <v>26.106000000000002</v>
      </c>
      <c r="H43">
        <f>H42+8</f>
        <v>25.21</v>
      </c>
      <c r="I43">
        <f t="shared" ref="I43:L43" si="10">I42+8</f>
        <v>27.364000000000001</v>
      </c>
      <c r="J43">
        <f t="shared" si="10"/>
        <v>33.061999999999998</v>
      </c>
      <c r="K43">
        <f t="shared" si="10"/>
        <v>37.683999999999997</v>
      </c>
      <c r="L43">
        <f t="shared" si="10"/>
        <v>38.256</v>
      </c>
    </row>
    <row r="44" spans="2:12" x14ac:dyDescent="0.5">
      <c r="C44">
        <f>_xlfn.STDEV.P(C35:C40)</f>
        <v>3.1066058649271864</v>
      </c>
      <c r="D44">
        <f t="shared" ref="D44:L44" si="11">_xlfn.STDEV.P(D35:D40)</f>
        <v>1.7401883678371015</v>
      </c>
      <c r="E44">
        <f t="shared" si="11"/>
        <v>1.1116204388189346</v>
      </c>
      <c r="F44">
        <f t="shared" si="11"/>
        <v>0.74076536996091646</v>
      </c>
      <c r="G44">
        <f t="shared" si="11"/>
        <v>0.82553255538470449</v>
      </c>
      <c r="H44">
        <f t="shared" si="11"/>
        <v>0.3100322563863312</v>
      </c>
      <c r="I44">
        <f t="shared" si="11"/>
        <v>1.1186885178636641</v>
      </c>
      <c r="J44">
        <f t="shared" si="11"/>
        <v>0.79818293642497795</v>
      </c>
      <c r="K44">
        <f t="shared" si="11"/>
        <v>1.6140830214087512</v>
      </c>
      <c r="L44">
        <f t="shared" si="11"/>
        <v>0.9030968940263272</v>
      </c>
    </row>
    <row r="46" spans="2:12" x14ac:dyDescent="0.5">
      <c r="B46" s="5" t="s">
        <v>6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 x14ac:dyDescent="0.5">
      <c r="B47" t="s">
        <v>1</v>
      </c>
      <c r="C47">
        <v>74</v>
      </c>
      <c r="D47">
        <v>69</v>
      </c>
      <c r="E47">
        <v>62</v>
      </c>
      <c r="F47">
        <v>57</v>
      </c>
      <c r="G47">
        <v>53</v>
      </c>
      <c r="H47">
        <v>50</v>
      </c>
      <c r="I47">
        <v>47</v>
      </c>
      <c r="J47">
        <v>45</v>
      </c>
      <c r="K47">
        <v>43</v>
      </c>
      <c r="L47">
        <v>41</v>
      </c>
    </row>
    <row r="48" spans="2:12" x14ac:dyDescent="0.5">
      <c r="B48" t="s">
        <v>2</v>
      </c>
      <c r="C48">
        <v>73</v>
      </c>
      <c r="D48">
        <v>120</v>
      </c>
      <c r="E48">
        <v>164</v>
      </c>
      <c r="F48">
        <v>256</v>
      </c>
      <c r="G48">
        <v>353</v>
      </c>
      <c r="H48">
        <v>427</v>
      </c>
      <c r="I48">
        <v>522</v>
      </c>
      <c r="J48">
        <v>586</v>
      </c>
      <c r="K48">
        <v>638</v>
      </c>
      <c r="L48">
        <v>705</v>
      </c>
    </row>
    <row r="49" spans="2:12" x14ac:dyDescent="0.5">
      <c r="B49" t="s">
        <v>3</v>
      </c>
      <c r="C49">
        <v>3</v>
      </c>
      <c r="D49">
        <v>4</v>
      </c>
      <c r="E49">
        <v>6</v>
      </c>
      <c r="F49">
        <v>8</v>
      </c>
      <c r="G49">
        <v>10</v>
      </c>
      <c r="H49">
        <v>12</v>
      </c>
      <c r="I49">
        <v>14</v>
      </c>
      <c r="J49">
        <v>16</v>
      </c>
      <c r="K49">
        <v>18</v>
      </c>
      <c r="L49">
        <v>20</v>
      </c>
    </row>
    <row r="50" spans="2:12" x14ac:dyDescent="0.5">
      <c r="C50">
        <v>17.04</v>
      </c>
      <c r="D50">
        <v>24.95</v>
      </c>
      <c r="E50">
        <v>28.01</v>
      </c>
      <c r="F50">
        <v>27.19</v>
      </c>
      <c r="G50">
        <v>26.06</v>
      </c>
      <c r="H50">
        <v>19.16</v>
      </c>
      <c r="I50">
        <v>21.41</v>
      </c>
      <c r="J50">
        <v>25.3</v>
      </c>
      <c r="K50">
        <v>30.52</v>
      </c>
      <c r="L50">
        <v>35.43</v>
      </c>
    </row>
    <row r="51" spans="2:12" x14ac:dyDescent="0.5">
      <c r="C51">
        <v>13.5</v>
      </c>
      <c r="D51">
        <v>22.23</v>
      </c>
      <c r="E51">
        <v>26.26</v>
      </c>
      <c r="F51">
        <v>26.11</v>
      </c>
      <c r="G51">
        <v>25.84</v>
      </c>
      <c r="H51">
        <v>18.37</v>
      </c>
      <c r="I51">
        <v>19.41</v>
      </c>
      <c r="J51">
        <v>23.87</v>
      </c>
      <c r="K51">
        <v>28.33</v>
      </c>
      <c r="L51">
        <v>29.3</v>
      </c>
    </row>
    <row r="52" spans="2:12" x14ac:dyDescent="0.5">
      <c r="C52">
        <v>14.58</v>
      </c>
      <c r="D52">
        <v>22.53</v>
      </c>
      <c r="E52">
        <v>25.16</v>
      </c>
      <c r="F52">
        <v>24.6</v>
      </c>
      <c r="G52">
        <v>25.53</v>
      </c>
      <c r="H52">
        <v>18.260000000000002</v>
      </c>
      <c r="I52">
        <v>19.71</v>
      </c>
      <c r="J52">
        <v>25.2</v>
      </c>
      <c r="K52">
        <v>27.59</v>
      </c>
      <c r="L52">
        <v>31.32</v>
      </c>
    </row>
    <row r="53" spans="2:12" x14ac:dyDescent="0.5">
      <c r="C53">
        <v>12.06</v>
      </c>
      <c r="D53">
        <v>22.57</v>
      </c>
      <c r="E53">
        <v>27.28</v>
      </c>
      <c r="F53">
        <v>27.02</v>
      </c>
      <c r="G53">
        <v>26.77</v>
      </c>
      <c r="H53">
        <v>17.82</v>
      </c>
      <c r="I53">
        <v>20.46</v>
      </c>
      <c r="J53">
        <v>25.46</v>
      </c>
      <c r="K53">
        <v>30.18</v>
      </c>
      <c r="L53">
        <v>29.82</v>
      </c>
    </row>
    <row r="54" spans="2:12" x14ac:dyDescent="0.5">
      <c r="C54">
        <v>12.55</v>
      </c>
      <c r="D54">
        <v>21.92</v>
      </c>
      <c r="E54">
        <v>28.24</v>
      </c>
      <c r="F54">
        <v>28.37</v>
      </c>
      <c r="G54">
        <v>28.23</v>
      </c>
      <c r="H54">
        <v>18.87</v>
      </c>
      <c r="I54">
        <v>20.81</v>
      </c>
      <c r="J54">
        <v>25.49</v>
      </c>
      <c r="K54">
        <v>28.5</v>
      </c>
      <c r="L54">
        <v>30.92</v>
      </c>
    </row>
    <row r="55" spans="2:12" x14ac:dyDescent="0.5">
      <c r="K55">
        <v>28.49</v>
      </c>
      <c r="L55">
        <v>31.9</v>
      </c>
    </row>
    <row r="57" spans="2:12" x14ac:dyDescent="0.5">
      <c r="C57">
        <f>AVERAGE(C50:C55)</f>
        <v>13.946000000000002</v>
      </c>
      <c r="D57">
        <f t="shared" ref="D57:L57" si="12">AVERAGE(D50:D55)</f>
        <v>22.84</v>
      </c>
      <c r="E57">
        <f t="shared" si="12"/>
        <v>26.990000000000002</v>
      </c>
      <c r="F57">
        <f t="shared" si="12"/>
        <v>26.657999999999998</v>
      </c>
      <c r="G57">
        <f t="shared" si="12"/>
        <v>26.486000000000001</v>
      </c>
      <c r="H57">
        <f t="shared" si="12"/>
        <v>18.496000000000002</v>
      </c>
      <c r="I57">
        <f t="shared" si="12"/>
        <v>20.360000000000003</v>
      </c>
      <c r="J57">
        <f t="shared" si="12"/>
        <v>25.064</v>
      </c>
      <c r="K57">
        <f t="shared" si="12"/>
        <v>28.935000000000002</v>
      </c>
      <c r="L57">
        <f t="shared" si="12"/>
        <v>31.448333333333338</v>
      </c>
    </row>
    <row r="58" spans="2:12" x14ac:dyDescent="0.5">
      <c r="C58">
        <f>C57</f>
        <v>13.946000000000002</v>
      </c>
      <c r="D58">
        <f t="shared" ref="D58:G58" si="13">D57</f>
        <v>22.84</v>
      </c>
      <c r="E58">
        <f t="shared" si="13"/>
        <v>26.990000000000002</v>
      </c>
      <c r="F58">
        <f t="shared" si="13"/>
        <v>26.657999999999998</v>
      </c>
      <c r="G58">
        <f t="shared" si="13"/>
        <v>26.486000000000001</v>
      </c>
      <c r="H58">
        <f>H57+8</f>
        <v>26.496000000000002</v>
      </c>
      <c r="I58">
        <f t="shared" ref="I58:L58" si="14">I57+8</f>
        <v>28.360000000000003</v>
      </c>
      <c r="J58">
        <f t="shared" si="14"/>
        <v>33.064</v>
      </c>
      <c r="K58">
        <f t="shared" si="14"/>
        <v>36.935000000000002</v>
      </c>
      <c r="L58">
        <f t="shared" si="14"/>
        <v>39.448333333333338</v>
      </c>
    </row>
    <row r="59" spans="2:12" x14ac:dyDescent="0.5">
      <c r="C59">
        <f>_xlfn.STDEV.P(C50:C55)</f>
        <v>1.7708483842497564</v>
      </c>
      <c r="D59">
        <f t="shared" ref="D59:L59" si="15">_xlfn.STDEV.P(D50:D55)</f>
        <v>1.0807034745942101</v>
      </c>
      <c r="E59">
        <f t="shared" si="15"/>
        <v>1.1461937009074858</v>
      </c>
      <c r="F59">
        <f t="shared" si="15"/>
        <v>1.2554425514534704</v>
      </c>
      <c r="G59">
        <f t="shared" si="15"/>
        <v>0.9628000830909812</v>
      </c>
      <c r="H59">
        <f t="shared" si="15"/>
        <v>0.47102441550306062</v>
      </c>
      <c r="I59">
        <f t="shared" si="15"/>
        <v>0.72663608498339771</v>
      </c>
      <c r="J59">
        <f t="shared" si="15"/>
        <v>0.60632004749966784</v>
      </c>
      <c r="K59">
        <f t="shared" si="15"/>
        <v>1.050757663149152</v>
      </c>
      <c r="L59">
        <f t="shared" si="15"/>
        <v>1.9841069919627707</v>
      </c>
    </row>
    <row r="61" spans="2:12" x14ac:dyDescent="0.5">
      <c r="B61" s="5" t="s">
        <v>7</v>
      </c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2:12" x14ac:dyDescent="0.5">
      <c r="B62" t="s">
        <v>1</v>
      </c>
      <c r="C62">
        <v>74</v>
      </c>
      <c r="D62">
        <v>69</v>
      </c>
      <c r="E62">
        <v>62</v>
      </c>
      <c r="F62">
        <v>57</v>
      </c>
      <c r="G62">
        <v>53</v>
      </c>
      <c r="H62">
        <v>50</v>
      </c>
      <c r="I62">
        <v>47</v>
      </c>
      <c r="J62">
        <v>45</v>
      </c>
      <c r="K62">
        <v>43</v>
      </c>
      <c r="L62">
        <v>41</v>
      </c>
    </row>
    <row r="63" spans="2:12" x14ac:dyDescent="0.5">
      <c r="B63" t="s">
        <v>2</v>
      </c>
      <c r="C63">
        <v>73</v>
      </c>
      <c r="D63">
        <v>120</v>
      </c>
      <c r="E63">
        <v>164</v>
      </c>
      <c r="F63">
        <v>256</v>
      </c>
      <c r="G63">
        <v>353</v>
      </c>
      <c r="H63">
        <v>427</v>
      </c>
      <c r="I63">
        <v>522</v>
      </c>
      <c r="J63">
        <v>586</v>
      </c>
      <c r="K63">
        <v>638</v>
      </c>
      <c r="L63">
        <v>705</v>
      </c>
    </row>
    <row r="64" spans="2:12" x14ac:dyDescent="0.5">
      <c r="B64" t="s">
        <v>3</v>
      </c>
      <c r="C64">
        <v>3</v>
      </c>
      <c r="D64">
        <v>4</v>
      </c>
      <c r="E64">
        <v>6</v>
      </c>
      <c r="F64">
        <v>8</v>
      </c>
      <c r="G64">
        <v>10</v>
      </c>
      <c r="H64">
        <v>12</v>
      </c>
      <c r="I64">
        <v>14</v>
      </c>
      <c r="J64">
        <v>16</v>
      </c>
      <c r="K64">
        <v>18</v>
      </c>
      <c r="L64">
        <v>20</v>
      </c>
    </row>
    <row r="65" spans="3:12" x14ac:dyDescent="0.5">
      <c r="C65">
        <v>17.54</v>
      </c>
      <c r="D65">
        <v>18.45</v>
      </c>
      <c r="E65">
        <v>23.86</v>
      </c>
      <c r="F65">
        <v>23.27</v>
      </c>
      <c r="G65">
        <v>26.42</v>
      </c>
      <c r="H65">
        <v>16.36</v>
      </c>
      <c r="I65">
        <v>21.43</v>
      </c>
      <c r="J65">
        <v>24.98</v>
      </c>
      <c r="K65">
        <v>31.55</v>
      </c>
      <c r="L65">
        <v>28.83</v>
      </c>
    </row>
    <row r="66" spans="3:12" x14ac:dyDescent="0.5">
      <c r="C66">
        <v>13.85</v>
      </c>
      <c r="D66">
        <v>16.86</v>
      </c>
      <c r="E66">
        <v>22.54</v>
      </c>
      <c r="F66">
        <v>21.92</v>
      </c>
      <c r="G66">
        <v>24.86</v>
      </c>
      <c r="H66">
        <v>14.52</v>
      </c>
      <c r="I66">
        <v>18.84</v>
      </c>
      <c r="J66">
        <v>23.99</v>
      </c>
      <c r="K66">
        <v>27.63</v>
      </c>
      <c r="L66">
        <v>26.1</v>
      </c>
    </row>
    <row r="67" spans="3:12" x14ac:dyDescent="0.5">
      <c r="C67">
        <v>8.5399999999999991</v>
      </c>
      <c r="D67">
        <v>17.239999999999998</v>
      </c>
      <c r="E67">
        <v>22.67</v>
      </c>
      <c r="F67">
        <v>22.33</v>
      </c>
      <c r="G67">
        <v>22.72</v>
      </c>
      <c r="H67">
        <v>15.22</v>
      </c>
      <c r="I67">
        <v>15.25</v>
      </c>
      <c r="J67">
        <v>20.329999999999998</v>
      </c>
      <c r="K67">
        <v>26.31</v>
      </c>
      <c r="L67">
        <v>25.7</v>
      </c>
    </row>
    <row r="68" spans="3:12" x14ac:dyDescent="0.5">
      <c r="C68">
        <v>6.73</v>
      </c>
      <c r="D68">
        <v>17.149999999999999</v>
      </c>
      <c r="E68">
        <v>24.64</v>
      </c>
      <c r="F68">
        <v>22.09</v>
      </c>
      <c r="G68">
        <v>25.36</v>
      </c>
      <c r="H68">
        <v>14.37</v>
      </c>
      <c r="I68">
        <v>18.07</v>
      </c>
      <c r="J68">
        <v>17.489999999999998</v>
      </c>
      <c r="K68">
        <v>22.73</v>
      </c>
      <c r="L68">
        <v>26.3</v>
      </c>
    </row>
    <row r="69" spans="3:12" x14ac:dyDescent="0.5">
      <c r="C69">
        <v>5.73</v>
      </c>
      <c r="D69">
        <v>16.2</v>
      </c>
      <c r="E69">
        <v>25.6</v>
      </c>
      <c r="F69">
        <v>22.24</v>
      </c>
      <c r="G69">
        <v>24.45</v>
      </c>
      <c r="H69">
        <v>13.55</v>
      </c>
      <c r="I69">
        <v>19.61</v>
      </c>
      <c r="J69">
        <v>24.21</v>
      </c>
      <c r="K69">
        <v>28.29</v>
      </c>
      <c r="L69">
        <v>30.87</v>
      </c>
    </row>
    <row r="70" spans="3:12" x14ac:dyDescent="0.5">
      <c r="C70">
        <v>10.56</v>
      </c>
      <c r="F70">
        <v>22.23</v>
      </c>
      <c r="H70">
        <v>23.02</v>
      </c>
      <c r="I70">
        <v>19.34</v>
      </c>
      <c r="J70">
        <v>27.56</v>
      </c>
      <c r="K70">
        <v>22.75</v>
      </c>
      <c r="L70">
        <v>29.89</v>
      </c>
    </row>
    <row r="72" spans="3:12" x14ac:dyDescent="0.5">
      <c r="C72">
        <f>AVERAGE(C65:C70)</f>
        <v>10.491666666666667</v>
      </c>
      <c r="D72">
        <f t="shared" ref="D72:L72" si="16">AVERAGE(D65:D70)</f>
        <v>17.18</v>
      </c>
      <c r="E72">
        <f t="shared" si="16"/>
        <v>23.862000000000002</v>
      </c>
      <c r="F72">
        <f t="shared" si="16"/>
        <v>22.346666666666664</v>
      </c>
      <c r="G72">
        <f t="shared" si="16"/>
        <v>24.762</v>
      </c>
      <c r="H72">
        <f t="shared" si="16"/>
        <v>16.173333333333332</v>
      </c>
      <c r="I72">
        <f t="shared" si="16"/>
        <v>18.756666666666668</v>
      </c>
      <c r="J72">
        <f t="shared" si="16"/>
        <v>23.093333333333334</v>
      </c>
      <c r="K72">
        <f t="shared" si="16"/>
        <v>26.543333333333333</v>
      </c>
      <c r="L72">
        <f t="shared" si="16"/>
        <v>27.948333333333334</v>
      </c>
    </row>
    <row r="73" spans="3:12" x14ac:dyDescent="0.5">
      <c r="C73">
        <f>C72</f>
        <v>10.491666666666667</v>
      </c>
      <c r="D73">
        <f t="shared" ref="D73:G73" si="17">D72</f>
        <v>17.18</v>
      </c>
      <c r="E73">
        <f t="shared" si="17"/>
        <v>23.862000000000002</v>
      </c>
      <c r="F73">
        <f t="shared" si="17"/>
        <v>22.346666666666664</v>
      </c>
      <c r="G73">
        <f t="shared" si="17"/>
        <v>24.762</v>
      </c>
      <c r="H73">
        <f>H72+8</f>
        <v>24.173333333333332</v>
      </c>
      <c r="I73">
        <f t="shared" ref="I73:L73" si="18">I72+8</f>
        <v>26.756666666666668</v>
      </c>
      <c r="J73">
        <f t="shared" si="18"/>
        <v>31.093333333333334</v>
      </c>
      <c r="K73">
        <f t="shared" si="18"/>
        <v>34.543333333333337</v>
      </c>
      <c r="L73">
        <f t="shared" si="18"/>
        <v>35.948333333333338</v>
      </c>
    </row>
    <row r="74" spans="3:12" x14ac:dyDescent="0.5">
      <c r="C74">
        <f>_xlfn.STDEV.P(C65:C70)</f>
        <v>4.1149054937169831</v>
      </c>
      <c r="D74">
        <f t="shared" ref="D74:L74" si="19">_xlfn.STDEV.P(D65:D70)</f>
        <v>0.73214752611751688</v>
      </c>
      <c r="E74">
        <f t="shared" si="19"/>
        <v>1.1657169467756745</v>
      </c>
      <c r="F74">
        <f t="shared" si="19"/>
        <v>0.4331538089665401</v>
      </c>
      <c r="G74">
        <f t="shared" si="19"/>
        <v>1.2151773533110308</v>
      </c>
      <c r="H74">
        <f t="shared" si="19"/>
        <v>3.1803546273262673</v>
      </c>
      <c r="I74">
        <f t="shared" si="19"/>
        <v>1.8703980562674054</v>
      </c>
      <c r="J74">
        <f t="shared" si="19"/>
        <v>3.2811312412371119</v>
      </c>
      <c r="K74">
        <f t="shared" si="19"/>
        <v>3.1167219246438247</v>
      </c>
      <c r="L74">
        <f t="shared" si="19"/>
        <v>2.0112965691038429</v>
      </c>
    </row>
  </sheetData>
  <mergeCells count="5">
    <mergeCell ref="B1:L1"/>
    <mergeCell ref="B16:L16"/>
    <mergeCell ref="B31:L31"/>
    <mergeCell ref="B46:L46"/>
    <mergeCell ref="B61:L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17CD-4E11-4E28-8502-B54238A3EB42}">
  <dimension ref="A1"/>
  <sheetViews>
    <sheetView zoomScale="70" zoomScaleNormal="70" workbookViewId="0"/>
  </sheetViews>
  <sheetFormatPr defaultRowHeight="14.35" x14ac:dyDescent="0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C7A0-1AC9-4AC8-B892-C73D835F3E41}">
  <dimension ref="B1:AT98"/>
  <sheetViews>
    <sheetView topLeftCell="E39" zoomScale="163" zoomScaleNormal="60" workbookViewId="0">
      <selection activeCell="AE61" sqref="AE61"/>
    </sheetView>
  </sheetViews>
  <sheetFormatPr defaultRowHeight="14.35" x14ac:dyDescent="0.5"/>
  <sheetData>
    <row r="1" spans="2:46" x14ac:dyDescent="0.5">
      <c r="B1" s="5" t="s">
        <v>16</v>
      </c>
      <c r="C1" s="5"/>
      <c r="D1" s="5"/>
      <c r="E1" s="5"/>
      <c r="F1" s="5"/>
      <c r="G1" s="5"/>
      <c r="H1" s="5"/>
      <c r="I1" s="5"/>
      <c r="J1" s="5"/>
      <c r="K1" s="5"/>
      <c r="L1" s="5"/>
      <c r="O1" s="5" t="s">
        <v>17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2:46" x14ac:dyDescent="0.5">
      <c r="B2" s="5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  <c r="O2" s="5" t="s">
        <v>14</v>
      </c>
      <c r="P2" s="5"/>
      <c r="Q2" s="5"/>
      <c r="R2" s="5"/>
      <c r="S2" s="5"/>
      <c r="T2" s="5"/>
      <c r="U2" s="5"/>
      <c r="V2" s="5"/>
      <c r="W2" s="5"/>
      <c r="X2" s="5"/>
      <c r="Y2" s="5"/>
      <c r="AB2">
        <v>250</v>
      </c>
    </row>
    <row r="3" spans="2:46" x14ac:dyDescent="0.5"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>
        <v>73</v>
      </c>
      <c r="Q3">
        <v>120</v>
      </c>
      <c r="R3">
        <v>164</v>
      </c>
      <c r="S3">
        <v>256</v>
      </c>
      <c r="T3">
        <v>353</v>
      </c>
      <c r="U3">
        <v>427</v>
      </c>
      <c r="V3">
        <v>522</v>
      </c>
      <c r="W3">
        <v>586</v>
      </c>
      <c r="X3">
        <v>638</v>
      </c>
      <c r="Y3">
        <v>705</v>
      </c>
      <c r="AB3">
        <v>1000</v>
      </c>
    </row>
    <row r="4" spans="2:46" x14ac:dyDescent="0.5">
      <c r="B4">
        <v>0</v>
      </c>
      <c r="C4">
        <v>3.3899999999999997</v>
      </c>
      <c r="D4">
        <v>7.347999999999999</v>
      </c>
      <c r="E4">
        <v>14.668000000000001</v>
      </c>
      <c r="F4">
        <v>16.791999999999998</v>
      </c>
      <c r="G4">
        <v>18.149999999999999</v>
      </c>
      <c r="H4">
        <v>22.728000000000002</v>
      </c>
      <c r="I4">
        <v>30.892000000000003</v>
      </c>
      <c r="J4">
        <v>35.676000000000002</v>
      </c>
      <c r="K4">
        <v>36.595999999999997</v>
      </c>
      <c r="L4">
        <v>40.410000000000004</v>
      </c>
      <c r="O4">
        <v>0</v>
      </c>
      <c r="P4">
        <v>3.3899999999999997</v>
      </c>
      <c r="Q4">
        <v>7.347999999999999</v>
      </c>
      <c r="R4">
        <v>14.668000000000001</v>
      </c>
      <c r="S4">
        <v>16.791999999999998</v>
      </c>
      <c r="T4">
        <v>18.149999999999999</v>
      </c>
      <c r="U4">
        <v>22.728000000000002</v>
      </c>
      <c r="V4">
        <v>30.892000000000003</v>
      </c>
      <c r="W4">
        <v>35.676000000000002</v>
      </c>
      <c r="X4">
        <v>36.595999999999997</v>
      </c>
      <c r="Y4">
        <v>40.410000000000004</v>
      </c>
      <c r="AB4">
        <v>4000</v>
      </c>
      <c r="AK4">
        <v>73</v>
      </c>
      <c r="AL4">
        <v>120</v>
      </c>
      <c r="AM4">
        <v>164</v>
      </c>
      <c r="AN4">
        <v>256</v>
      </c>
      <c r="AO4">
        <v>353</v>
      </c>
      <c r="AP4">
        <v>427</v>
      </c>
      <c r="AQ4">
        <v>522</v>
      </c>
      <c r="AR4">
        <v>586</v>
      </c>
      <c r="AS4">
        <v>638</v>
      </c>
      <c r="AT4">
        <v>705</v>
      </c>
    </row>
    <row r="5" spans="2:46" x14ac:dyDescent="0.5">
      <c r="B5">
        <v>20</v>
      </c>
      <c r="C5">
        <v>4.875</v>
      </c>
      <c r="D5">
        <v>13.368333333333331</v>
      </c>
      <c r="E5">
        <v>20.203333333333337</v>
      </c>
      <c r="F5">
        <v>21.176666666666666</v>
      </c>
      <c r="G5">
        <v>22.083333333333332</v>
      </c>
      <c r="H5">
        <v>22.681666666666665</v>
      </c>
      <c r="I5">
        <v>28.031666666666666</v>
      </c>
      <c r="J5">
        <v>33.37166666666667</v>
      </c>
      <c r="K5">
        <v>36.596666666666664</v>
      </c>
      <c r="L5">
        <v>40.076666666666668</v>
      </c>
      <c r="O5">
        <v>20</v>
      </c>
      <c r="P5">
        <v>4.875</v>
      </c>
      <c r="Q5">
        <v>13.368333333333331</v>
      </c>
      <c r="R5">
        <v>20.203333333333337</v>
      </c>
      <c r="S5">
        <v>21.176666666666666</v>
      </c>
      <c r="T5">
        <v>22.083333333333332</v>
      </c>
      <c r="U5">
        <v>22.681666666666665</v>
      </c>
      <c r="V5">
        <v>28.031666666666666</v>
      </c>
      <c r="W5">
        <v>33.37166666666667</v>
      </c>
      <c r="X5">
        <v>36.596666666666664</v>
      </c>
      <c r="Y5">
        <v>40.076666666666668</v>
      </c>
      <c r="AJ5">
        <v>0</v>
      </c>
      <c r="AK5">
        <v>3.3899999999999997</v>
      </c>
      <c r="AL5">
        <v>7.347999999999999</v>
      </c>
      <c r="AM5">
        <v>14.668000000000001</v>
      </c>
      <c r="AN5">
        <v>16.791999999999998</v>
      </c>
      <c r="AO5">
        <v>18.149999999999999</v>
      </c>
      <c r="AP5">
        <v>22.728000000000002</v>
      </c>
      <c r="AQ5">
        <v>30.892000000000003</v>
      </c>
      <c r="AR5">
        <v>35.676000000000002</v>
      </c>
      <c r="AS5">
        <v>36.595999999999997</v>
      </c>
      <c r="AT5">
        <v>40.410000000000004</v>
      </c>
    </row>
    <row r="6" spans="2:46" x14ac:dyDescent="0.5">
      <c r="B6">
        <v>40</v>
      </c>
      <c r="C6">
        <v>8.2900000000000009</v>
      </c>
      <c r="D6">
        <v>20.506666666666664</v>
      </c>
      <c r="E6">
        <v>25.59</v>
      </c>
      <c r="F6">
        <v>26.320000000000004</v>
      </c>
      <c r="G6">
        <v>26.106000000000002</v>
      </c>
      <c r="H6">
        <v>25.21</v>
      </c>
      <c r="I6">
        <v>27.364000000000001</v>
      </c>
      <c r="J6">
        <v>33.061999999999998</v>
      </c>
      <c r="K6">
        <v>37.683999999999997</v>
      </c>
      <c r="L6">
        <v>38.256</v>
      </c>
      <c r="O6">
        <v>40</v>
      </c>
      <c r="P6">
        <v>8.2900000000000009</v>
      </c>
      <c r="Q6">
        <v>20.506666666666664</v>
      </c>
      <c r="R6">
        <v>25.59</v>
      </c>
      <c r="S6">
        <v>26.320000000000004</v>
      </c>
      <c r="T6">
        <v>26.106000000000002</v>
      </c>
      <c r="U6">
        <v>25.21</v>
      </c>
      <c r="V6">
        <v>27.364000000000001</v>
      </c>
      <c r="W6">
        <v>33.061999999999998</v>
      </c>
      <c r="X6">
        <v>37.683999999999997</v>
      </c>
      <c r="Y6">
        <v>38.256</v>
      </c>
      <c r="AJ6">
        <v>0</v>
      </c>
      <c r="AK6">
        <v>6.7762500000000001</v>
      </c>
      <c r="AL6">
        <v>15.529999999999998</v>
      </c>
      <c r="AM6">
        <v>22.661666666666665</v>
      </c>
      <c r="AN6">
        <v>23.743333333333336</v>
      </c>
      <c r="AO6">
        <v>25.95</v>
      </c>
      <c r="AP6">
        <v>29.98</v>
      </c>
      <c r="AQ6">
        <v>38.768333333333331</v>
      </c>
      <c r="AR6">
        <v>43.275000000000006</v>
      </c>
      <c r="AS6">
        <v>47.404999999999994</v>
      </c>
      <c r="AT6">
        <v>48.932000000000002</v>
      </c>
    </row>
    <row r="7" spans="2:46" x14ac:dyDescent="0.5">
      <c r="B7">
        <v>60</v>
      </c>
      <c r="C7">
        <v>13.946000000000002</v>
      </c>
      <c r="D7">
        <v>22.84</v>
      </c>
      <c r="E7">
        <v>26.990000000000002</v>
      </c>
      <c r="F7">
        <v>26.657999999999998</v>
      </c>
      <c r="G7">
        <v>26.486000000000001</v>
      </c>
      <c r="H7">
        <v>26.496000000000002</v>
      </c>
      <c r="I7">
        <v>28.360000000000003</v>
      </c>
      <c r="J7">
        <v>33.064</v>
      </c>
      <c r="K7">
        <v>36.935000000000002</v>
      </c>
      <c r="L7">
        <v>39.448333333333338</v>
      </c>
      <c r="O7">
        <v>60</v>
      </c>
      <c r="P7">
        <v>13.946000000000002</v>
      </c>
      <c r="Q7">
        <v>22.84</v>
      </c>
      <c r="R7">
        <v>26.990000000000002</v>
      </c>
      <c r="S7">
        <v>26.657999999999998</v>
      </c>
      <c r="T7">
        <v>26.486000000000001</v>
      </c>
      <c r="U7">
        <v>26.496000000000002</v>
      </c>
      <c r="V7">
        <v>28.360000000000003</v>
      </c>
      <c r="W7">
        <v>33.064</v>
      </c>
      <c r="X7">
        <v>36.935000000000002</v>
      </c>
      <c r="Y7">
        <v>39.448333333333338</v>
      </c>
      <c r="AJ7">
        <v>0</v>
      </c>
      <c r="AK7">
        <v>14.666666666666668</v>
      </c>
      <c r="AL7">
        <v>24.903333333333332</v>
      </c>
      <c r="AM7">
        <v>31.358333333333334</v>
      </c>
      <c r="AN7">
        <v>32.302</v>
      </c>
      <c r="AO7">
        <v>32.735999999999997</v>
      </c>
      <c r="AP7">
        <v>36.769999999999996</v>
      </c>
      <c r="AQ7">
        <v>45.86</v>
      </c>
      <c r="AR7">
        <v>50.963999999999999</v>
      </c>
      <c r="AS7">
        <v>53.822000000000003</v>
      </c>
      <c r="AT7">
        <v>55.499999999999993</v>
      </c>
    </row>
    <row r="8" spans="2:46" x14ac:dyDescent="0.5">
      <c r="B8">
        <v>80</v>
      </c>
      <c r="C8">
        <v>10.491666666666667</v>
      </c>
      <c r="D8">
        <v>17.18</v>
      </c>
      <c r="E8">
        <v>23.862000000000002</v>
      </c>
      <c r="F8">
        <v>22.346666666666664</v>
      </c>
      <c r="G8">
        <v>24.762</v>
      </c>
      <c r="H8">
        <v>24.173333333333332</v>
      </c>
      <c r="I8">
        <v>26.756666666666668</v>
      </c>
      <c r="J8">
        <v>31.093333333333334</v>
      </c>
      <c r="K8">
        <v>34.543333333333337</v>
      </c>
      <c r="L8">
        <v>35.948333333333338</v>
      </c>
      <c r="O8">
        <v>80</v>
      </c>
      <c r="P8">
        <v>10.491666666666667</v>
      </c>
      <c r="Q8">
        <v>17.18</v>
      </c>
      <c r="R8">
        <v>23.862000000000002</v>
      </c>
      <c r="S8">
        <v>22.346666666666664</v>
      </c>
      <c r="T8">
        <v>24.762</v>
      </c>
      <c r="U8">
        <v>24.173333333333332</v>
      </c>
      <c r="V8">
        <v>26.756666666666668</v>
      </c>
      <c r="W8">
        <v>31.093333333333334</v>
      </c>
      <c r="X8">
        <v>34.543333333333337</v>
      </c>
      <c r="Y8">
        <v>35.948333333333338</v>
      </c>
    </row>
    <row r="9" spans="2:46" x14ac:dyDescent="0.5">
      <c r="AJ9">
        <v>20</v>
      </c>
      <c r="AK9">
        <v>4.875</v>
      </c>
      <c r="AL9">
        <v>13.368333333333331</v>
      </c>
      <c r="AM9">
        <v>20.203333333333337</v>
      </c>
      <c r="AN9">
        <v>21.176666666666666</v>
      </c>
      <c r="AO9">
        <v>22.083333333333332</v>
      </c>
      <c r="AP9">
        <v>22.681666666666665</v>
      </c>
      <c r="AQ9">
        <v>28.031666666666666</v>
      </c>
      <c r="AR9">
        <v>33.37166666666667</v>
      </c>
      <c r="AS9">
        <v>36.596666666666664</v>
      </c>
      <c r="AT9">
        <v>40.076666666666668</v>
      </c>
    </row>
    <row r="10" spans="2:46" x14ac:dyDescent="0.5">
      <c r="B10" s="5" t="s">
        <v>15</v>
      </c>
      <c r="C10" s="5"/>
      <c r="D10" s="5"/>
      <c r="E10" s="5"/>
      <c r="F10" s="5"/>
      <c r="G10" s="5"/>
      <c r="H10" s="5"/>
      <c r="I10" s="5"/>
      <c r="J10" s="5"/>
      <c r="K10" s="5"/>
      <c r="L10" s="5"/>
      <c r="O10" s="5" t="s">
        <v>15</v>
      </c>
      <c r="P10" s="5"/>
      <c r="Q10" s="5"/>
      <c r="R10" s="5"/>
      <c r="S10" s="5"/>
      <c r="T10" s="5"/>
      <c r="U10" s="5"/>
      <c r="V10" s="5"/>
      <c r="W10" s="5"/>
      <c r="X10" s="5"/>
      <c r="Y10" s="5"/>
      <c r="AJ10">
        <v>20</v>
      </c>
      <c r="AK10">
        <v>8.1216666666666661</v>
      </c>
      <c r="AL10">
        <v>18.508333333333333</v>
      </c>
      <c r="AM10">
        <v>26.492000000000001</v>
      </c>
      <c r="AN10">
        <v>27.084000000000003</v>
      </c>
      <c r="AO10">
        <v>28.066666666666666</v>
      </c>
      <c r="AP10">
        <v>30.77</v>
      </c>
      <c r="AQ10">
        <v>38.386000000000003</v>
      </c>
      <c r="AR10">
        <v>44.311999999999998</v>
      </c>
      <c r="AS10">
        <v>47.713999999999999</v>
      </c>
      <c r="AT10">
        <v>49.608333333333327</v>
      </c>
    </row>
    <row r="11" spans="2:46" x14ac:dyDescent="0.5">
      <c r="C11">
        <v>73</v>
      </c>
      <c r="D11">
        <v>120</v>
      </c>
      <c r="E11">
        <v>164</v>
      </c>
      <c r="F11">
        <v>256</v>
      </c>
      <c r="G11">
        <v>353</v>
      </c>
      <c r="H11">
        <v>427</v>
      </c>
      <c r="I11">
        <v>522</v>
      </c>
      <c r="J11">
        <v>586</v>
      </c>
      <c r="K11">
        <v>638</v>
      </c>
      <c r="L11">
        <v>705</v>
      </c>
      <c r="P11">
        <v>73</v>
      </c>
      <c r="Q11">
        <v>120</v>
      </c>
      <c r="R11">
        <v>164</v>
      </c>
      <c r="S11">
        <v>256</v>
      </c>
      <c r="T11">
        <v>353</v>
      </c>
      <c r="U11">
        <v>427</v>
      </c>
      <c r="V11">
        <v>522</v>
      </c>
      <c r="W11">
        <v>586</v>
      </c>
      <c r="X11">
        <v>638</v>
      </c>
      <c r="Y11">
        <v>705</v>
      </c>
      <c r="AJ11">
        <v>20</v>
      </c>
      <c r="AK11">
        <v>18.305999999999997</v>
      </c>
      <c r="AL11">
        <v>30.709999999999997</v>
      </c>
      <c r="AM11">
        <v>35.486000000000004</v>
      </c>
      <c r="AN11">
        <v>35.936</v>
      </c>
      <c r="AO11" t="e">
        <v>#N/A</v>
      </c>
      <c r="AP11">
        <v>37.634</v>
      </c>
      <c r="AQ11" t="e">
        <v>#N/A</v>
      </c>
      <c r="AR11">
        <v>49.837999999999994</v>
      </c>
      <c r="AS11">
        <v>53.316666666666663</v>
      </c>
      <c r="AT11">
        <v>54.970000000000006</v>
      </c>
    </row>
    <row r="12" spans="2:46" x14ac:dyDescent="0.5">
      <c r="B12">
        <v>0</v>
      </c>
      <c r="C12">
        <v>2.7762500000000001</v>
      </c>
      <c r="D12">
        <v>11.529999999999998</v>
      </c>
      <c r="E12">
        <v>18.661666666666665</v>
      </c>
      <c r="F12">
        <v>19.743333333333336</v>
      </c>
      <c r="G12">
        <v>21.95</v>
      </c>
      <c r="H12">
        <v>25.98</v>
      </c>
      <c r="I12">
        <v>34.768333333333331</v>
      </c>
      <c r="J12">
        <v>39.275000000000006</v>
      </c>
      <c r="K12">
        <v>43.404999999999994</v>
      </c>
      <c r="L12">
        <v>44.932000000000002</v>
      </c>
      <c r="O12">
        <v>0</v>
      </c>
      <c r="P12">
        <f>C12+4</f>
        <v>6.7762500000000001</v>
      </c>
      <c r="Q12">
        <f t="shared" ref="Q12:Y12" si="0">D12+4</f>
        <v>15.529999999999998</v>
      </c>
      <c r="R12">
        <f t="shared" si="0"/>
        <v>22.661666666666665</v>
      </c>
      <c r="S12">
        <f t="shared" si="0"/>
        <v>23.743333333333336</v>
      </c>
      <c r="T12">
        <f t="shared" si="0"/>
        <v>25.95</v>
      </c>
      <c r="U12">
        <f t="shared" si="0"/>
        <v>29.98</v>
      </c>
      <c r="V12">
        <f t="shared" si="0"/>
        <v>38.768333333333331</v>
      </c>
      <c r="W12">
        <f t="shared" si="0"/>
        <v>43.275000000000006</v>
      </c>
      <c r="X12">
        <f t="shared" si="0"/>
        <v>47.404999999999994</v>
      </c>
      <c r="Y12">
        <f t="shared" si="0"/>
        <v>48.932000000000002</v>
      </c>
    </row>
    <row r="13" spans="2:46" x14ac:dyDescent="0.5">
      <c r="B13">
        <v>20</v>
      </c>
      <c r="C13">
        <v>4.121666666666667</v>
      </c>
      <c r="D13">
        <v>14.508333333333335</v>
      </c>
      <c r="E13">
        <v>22.492000000000001</v>
      </c>
      <c r="F13">
        <v>23.084000000000003</v>
      </c>
      <c r="G13">
        <v>24.066666666666666</v>
      </c>
      <c r="H13">
        <v>26.77</v>
      </c>
      <c r="I13">
        <v>34.386000000000003</v>
      </c>
      <c r="J13">
        <v>40.311999999999998</v>
      </c>
      <c r="K13">
        <v>43.713999999999999</v>
      </c>
      <c r="L13">
        <v>45.608333333333327</v>
      </c>
      <c r="O13">
        <v>20</v>
      </c>
      <c r="P13">
        <f t="shared" ref="P13:P16" si="1">C13+4</f>
        <v>8.1216666666666661</v>
      </c>
      <c r="Q13">
        <f t="shared" ref="Q13:Q16" si="2">D13+4</f>
        <v>18.508333333333333</v>
      </c>
      <c r="R13">
        <f t="shared" ref="R13:R16" si="3">E13+4</f>
        <v>26.492000000000001</v>
      </c>
      <c r="S13">
        <f t="shared" ref="S13:S16" si="4">F13+4</f>
        <v>27.084000000000003</v>
      </c>
      <c r="T13">
        <f t="shared" ref="T13:T16" si="5">G13+4</f>
        <v>28.066666666666666</v>
      </c>
      <c r="U13">
        <f t="shared" ref="U13:U16" si="6">H13+4</f>
        <v>30.77</v>
      </c>
      <c r="V13">
        <f t="shared" ref="V13:V16" si="7">I13+4</f>
        <v>38.386000000000003</v>
      </c>
      <c r="W13">
        <f t="shared" ref="W13:W16" si="8">J13+4</f>
        <v>44.311999999999998</v>
      </c>
      <c r="X13">
        <f t="shared" ref="X13:X16" si="9">K13+4</f>
        <v>47.713999999999999</v>
      </c>
      <c r="Y13">
        <f t="shared" ref="Y13:Y16" si="10">L13+4</f>
        <v>49.608333333333327</v>
      </c>
      <c r="AJ13">
        <v>40</v>
      </c>
      <c r="AK13">
        <v>8.2900000000000009</v>
      </c>
      <c r="AL13">
        <v>20.506666666666664</v>
      </c>
      <c r="AM13">
        <v>25.59</v>
      </c>
      <c r="AN13">
        <v>26.320000000000004</v>
      </c>
      <c r="AO13">
        <v>26.106000000000002</v>
      </c>
      <c r="AP13">
        <v>25.21</v>
      </c>
      <c r="AQ13">
        <v>27.364000000000001</v>
      </c>
      <c r="AR13">
        <v>33.061999999999998</v>
      </c>
      <c r="AS13">
        <v>37.683999999999997</v>
      </c>
      <c r="AT13">
        <v>38.256</v>
      </c>
    </row>
    <row r="14" spans="2:46" x14ac:dyDescent="0.5">
      <c r="B14">
        <v>40</v>
      </c>
      <c r="C14">
        <v>12.225999999999999</v>
      </c>
      <c r="D14">
        <v>24.156666666666666</v>
      </c>
      <c r="E14">
        <v>28.32</v>
      </c>
      <c r="F14">
        <v>27.940000000000005</v>
      </c>
      <c r="G14">
        <v>27.704999999999998</v>
      </c>
      <c r="H14">
        <v>28.964000000000002</v>
      </c>
      <c r="I14">
        <v>33.084999999999994</v>
      </c>
      <c r="J14">
        <v>39.366666666666674</v>
      </c>
      <c r="K14">
        <v>42.823333333333331</v>
      </c>
      <c r="L14">
        <v>44.220000000000006</v>
      </c>
      <c r="O14">
        <v>40</v>
      </c>
      <c r="P14">
        <f t="shared" si="1"/>
        <v>16.225999999999999</v>
      </c>
      <c r="Q14">
        <f t="shared" si="2"/>
        <v>28.156666666666666</v>
      </c>
      <c r="R14">
        <f t="shared" si="3"/>
        <v>32.32</v>
      </c>
      <c r="S14">
        <f t="shared" si="4"/>
        <v>31.940000000000005</v>
      </c>
      <c r="T14">
        <f t="shared" si="5"/>
        <v>31.704999999999998</v>
      </c>
      <c r="U14">
        <f t="shared" si="6"/>
        <v>32.963999999999999</v>
      </c>
      <c r="V14">
        <f t="shared" si="7"/>
        <v>37.084999999999994</v>
      </c>
      <c r="W14">
        <f t="shared" si="8"/>
        <v>43.366666666666674</v>
      </c>
      <c r="X14">
        <f t="shared" si="9"/>
        <v>46.823333333333331</v>
      </c>
      <c r="Y14">
        <f t="shared" si="10"/>
        <v>48.220000000000006</v>
      </c>
      <c r="AJ14">
        <v>40</v>
      </c>
      <c r="AK14">
        <v>16.225999999999999</v>
      </c>
      <c r="AL14">
        <v>28.156666666666666</v>
      </c>
      <c r="AM14">
        <v>32.32</v>
      </c>
      <c r="AN14">
        <v>31.940000000000005</v>
      </c>
      <c r="AO14">
        <v>31.704999999999998</v>
      </c>
      <c r="AP14">
        <v>32.963999999999999</v>
      </c>
      <c r="AQ14">
        <v>37.084999999999994</v>
      </c>
      <c r="AR14">
        <v>43.366666666666674</v>
      </c>
      <c r="AS14">
        <v>46.823333333333331</v>
      </c>
      <c r="AT14">
        <v>48.220000000000006</v>
      </c>
    </row>
    <row r="15" spans="2:46" x14ac:dyDescent="0.5">
      <c r="B15">
        <v>60</v>
      </c>
      <c r="C15">
        <v>17.95</v>
      </c>
      <c r="D15">
        <v>26.498000000000001</v>
      </c>
      <c r="E15">
        <v>30.515000000000001</v>
      </c>
      <c r="F15">
        <v>30.078333333333337</v>
      </c>
      <c r="G15">
        <v>30.266666666666666</v>
      </c>
      <c r="H15">
        <v>30.41</v>
      </c>
      <c r="I15">
        <v>34.508333333333326</v>
      </c>
      <c r="J15">
        <v>39.533333333333331</v>
      </c>
      <c r="K15" t="e">
        <f>NA()</f>
        <v>#N/A</v>
      </c>
      <c r="L15">
        <v>44.545000000000002</v>
      </c>
      <c r="O15">
        <v>60</v>
      </c>
      <c r="P15">
        <f t="shared" si="1"/>
        <v>21.95</v>
      </c>
      <c r="Q15">
        <f t="shared" si="2"/>
        <v>30.498000000000001</v>
      </c>
      <c r="R15">
        <f t="shared" si="3"/>
        <v>34.515000000000001</v>
      </c>
      <c r="S15">
        <f t="shared" si="4"/>
        <v>34.078333333333333</v>
      </c>
      <c r="T15">
        <f t="shared" si="5"/>
        <v>34.266666666666666</v>
      </c>
      <c r="U15">
        <f t="shared" si="6"/>
        <v>34.409999999999997</v>
      </c>
      <c r="V15">
        <f t="shared" si="7"/>
        <v>38.508333333333326</v>
      </c>
      <c r="W15">
        <f t="shared" si="8"/>
        <v>43.533333333333331</v>
      </c>
      <c r="X15" t="e">
        <f t="shared" si="9"/>
        <v>#N/A</v>
      </c>
      <c r="Y15">
        <f t="shared" si="10"/>
        <v>48.545000000000002</v>
      </c>
      <c r="AJ15">
        <v>40</v>
      </c>
      <c r="AK15">
        <v>23.806666666666665</v>
      </c>
      <c r="AL15">
        <v>34.853333333333339</v>
      </c>
      <c r="AM15">
        <v>38.384999999999991</v>
      </c>
      <c r="AN15">
        <v>38.721666666666664</v>
      </c>
      <c r="AO15">
        <v>38.328333333333333</v>
      </c>
      <c r="AP15">
        <v>39.25</v>
      </c>
      <c r="AQ15">
        <v>44.408000000000001</v>
      </c>
      <c r="AR15">
        <v>49.343333333333334</v>
      </c>
      <c r="AS15">
        <v>53.036000000000001</v>
      </c>
      <c r="AT15">
        <v>55.134</v>
      </c>
    </row>
    <row r="16" spans="2:46" x14ac:dyDescent="0.5">
      <c r="B16">
        <v>80</v>
      </c>
      <c r="C16">
        <v>19.115999999999996</v>
      </c>
      <c r="D16">
        <v>26.770000000000003</v>
      </c>
      <c r="E16">
        <v>29.930000000000003</v>
      </c>
      <c r="F16">
        <v>29.650000000000002</v>
      </c>
      <c r="G16">
        <v>29.426666666666666</v>
      </c>
      <c r="H16">
        <v>29.408333333333331</v>
      </c>
      <c r="I16">
        <v>33.683999999999997</v>
      </c>
      <c r="J16">
        <v>39.606666666666669</v>
      </c>
      <c r="K16">
        <v>42.82</v>
      </c>
      <c r="L16">
        <v>45.361666666666672</v>
      </c>
      <c r="O16">
        <v>80</v>
      </c>
      <c r="P16">
        <f t="shared" si="1"/>
        <v>23.115999999999996</v>
      </c>
      <c r="Q16">
        <f t="shared" si="2"/>
        <v>30.770000000000003</v>
      </c>
      <c r="R16">
        <f t="shared" si="3"/>
        <v>33.930000000000007</v>
      </c>
      <c r="S16">
        <f t="shared" si="4"/>
        <v>33.650000000000006</v>
      </c>
      <c r="T16">
        <f t="shared" si="5"/>
        <v>33.426666666666662</v>
      </c>
      <c r="U16">
        <f t="shared" si="6"/>
        <v>33.408333333333331</v>
      </c>
      <c r="V16">
        <f t="shared" si="7"/>
        <v>37.683999999999997</v>
      </c>
      <c r="W16">
        <f t="shared" si="8"/>
        <v>43.606666666666669</v>
      </c>
      <c r="X16">
        <f t="shared" si="9"/>
        <v>46.82</v>
      </c>
      <c r="Y16">
        <f t="shared" si="10"/>
        <v>49.361666666666672</v>
      </c>
    </row>
    <row r="17" spans="2:46" x14ac:dyDescent="0.5">
      <c r="AJ17">
        <v>60</v>
      </c>
      <c r="AK17">
        <v>13.946000000000002</v>
      </c>
      <c r="AL17">
        <v>22.84</v>
      </c>
      <c r="AM17">
        <v>26.990000000000002</v>
      </c>
      <c r="AN17">
        <v>26.657999999999998</v>
      </c>
      <c r="AO17">
        <v>26.486000000000001</v>
      </c>
      <c r="AP17">
        <v>26.496000000000002</v>
      </c>
      <c r="AQ17">
        <v>28.360000000000003</v>
      </c>
      <c r="AR17">
        <v>33.064</v>
      </c>
      <c r="AS17">
        <v>36.935000000000002</v>
      </c>
      <c r="AT17">
        <v>39.448333333333338</v>
      </c>
    </row>
    <row r="18" spans="2:46" x14ac:dyDescent="0.5">
      <c r="B18" s="5" t="s">
        <v>13</v>
      </c>
      <c r="C18" s="5"/>
      <c r="D18" s="5"/>
      <c r="E18" s="5"/>
      <c r="F18" s="5"/>
      <c r="G18" s="5"/>
      <c r="H18" s="5"/>
      <c r="I18" s="5"/>
      <c r="J18" s="5"/>
      <c r="K18" s="5"/>
      <c r="L18" s="5"/>
      <c r="O18" s="5" t="s">
        <v>13</v>
      </c>
      <c r="P18" s="5"/>
      <c r="Q18" s="5"/>
      <c r="R18" s="5"/>
      <c r="S18" s="5"/>
      <c r="T18" s="5"/>
      <c r="U18" s="5"/>
      <c r="V18" s="5"/>
      <c r="W18" s="5"/>
      <c r="X18" s="5"/>
      <c r="Y18" s="5"/>
      <c r="AJ18">
        <v>60</v>
      </c>
      <c r="AK18">
        <v>21.95</v>
      </c>
      <c r="AL18">
        <v>30.498000000000001</v>
      </c>
      <c r="AM18">
        <v>34.515000000000001</v>
      </c>
      <c r="AN18">
        <v>34.078333333333333</v>
      </c>
      <c r="AO18">
        <v>34.266666666666666</v>
      </c>
      <c r="AP18">
        <v>34.409999999999997</v>
      </c>
      <c r="AQ18">
        <v>38.508333333333326</v>
      </c>
      <c r="AR18">
        <v>43.533333333333331</v>
      </c>
      <c r="AS18" t="e">
        <v>#N/A</v>
      </c>
      <c r="AT18">
        <v>48.545000000000002</v>
      </c>
    </row>
    <row r="19" spans="2:46" x14ac:dyDescent="0.5">
      <c r="C19">
        <v>73</v>
      </c>
      <c r="D19">
        <v>120</v>
      </c>
      <c r="E19">
        <v>164</v>
      </c>
      <c r="F19">
        <v>256</v>
      </c>
      <c r="G19">
        <v>353</v>
      </c>
      <c r="H19">
        <v>427</v>
      </c>
      <c r="I19">
        <v>522</v>
      </c>
      <c r="J19">
        <v>586</v>
      </c>
      <c r="K19">
        <v>638</v>
      </c>
      <c r="L19">
        <v>705</v>
      </c>
      <c r="P19">
        <v>73</v>
      </c>
      <c r="Q19">
        <v>120</v>
      </c>
      <c r="R19">
        <v>164</v>
      </c>
      <c r="S19">
        <v>256</v>
      </c>
      <c r="T19">
        <v>353</v>
      </c>
      <c r="U19">
        <v>427</v>
      </c>
      <c r="V19">
        <v>522</v>
      </c>
      <c r="W19">
        <v>586</v>
      </c>
      <c r="X19">
        <v>638</v>
      </c>
      <c r="Y19">
        <v>705</v>
      </c>
      <c r="AJ19">
        <v>60</v>
      </c>
      <c r="AK19">
        <v>30.6</v>
      </c>
      <c r="AL19">
        <v>37.525999999999996</v>
      </c>
      <c r="AM19">
        <v>41.24</v>
      </c>
      <c r="AN19">
        <v>40.768000000000001</v>
      </c>
      <c r="AO19">
        <v>40.435999999999993</v>
      </c>
      <c r="AP19">
        <v>40.463999999999999</v>
      </c>
      <c r="AQ19">
        <v>44.736000000000004</v>
      </c>
      <c r="AR19">
        <v>50.468333333333334</v>
      </c>
      <c r="AS19">
        <v>53.667999999999999</v>
      </c>
      <c r="AT19">
        <v>55.44166666666667</v>
      </c>
    </row>
    <row r="20" spans="2:46" x14ac:dyDescent="0.5">
      <c r="B20">
        <v>0</v>
      </c>
      <c r="C20">
        <v>6.666666666666667</v>
      </c>
      <c r="D20">
        <v>16.903333333333332</v>
      </c>
      <c r="E20">
        <v>23.358333333333334</v>
      </c>
      <c r="F20">
        <v>24.302</v>
      </c>
      <c r="G20">
        <v>24.735999999999997</v>
      </c>
      <c r="H20">
        <v>28.77</v>
      </c>
      <c r="I20">
        <v>37.86</v>
      </c>
      <c r="J20">
        <v>42.963999999999999</v>
      </c>
      <c r="K20">
        <v>45.822000000000003</v>
      </c>
      <c r="L20">
        <v>47.499999999999993</v>
      </c>
      <c r="O20">
        <v>0</v>
      </c>
      <c r="P20">
        <f>C20+8</f>
        <v>14.666666666666668</v>
      </c>
      <c r="Q20">
        <f t="shared" ref="Q20:Y20" si="11">D20+8</f>
        <v>24.903333333333332</v>
      </c>
      <c r="R20">
        <f t="shared" si="11"/>
        <v>31.358333333333334</v>
      </c>
      <c r="S20">
        <f t="shared" si="11"/>
        <v>32.302</v>
      </c>
      <c r="T20">
        <f t="shared" si="11"/>
        <v>32.735999999999997</v>
      </c>
      <c r="U20">
        <f t="shared" si="11"/>
        <v>36.769999999999996</v>
      </c>
      <c r="V20">
        <f t="shared" si="11"/>
        <v>45.86</v>
      </c>
      <c r="W20">
        <f t="shared" si="11"/>
        <v>50.963999999999999</v>
      </c>
      <c r="X20">
        <f t="shared" si="11"/>
        <v>53.822000000000003</v>
      </c>
      <c r="Y20">
        <f t="shared" si="11"/>
        <v>55.499999999999993</v>
      </c>
    </row>
    <row r="21" spans="2:46" x14ac:dyDescent="0.5">
      <c r="B21">
        <v>20</v>
      </c>
      <c r="C21">
        <v>10.305999999999999</v>
      </c>
      <c r="D21">
        <v>22.709999999999997</v>
      </c>
      <c r="E21">
        <v>27.486000000000001</v>
      </c>
      <c r="F21">
        <v>27.936</v>
      </c>
      <c r="G21" t="e">
        <f>NA()</f>
        <v>#N/A</v>
      </c>
      <c r="H21">
        <v>29.634</v>
      </c>
      <c r="I21" t="e">
        <f>NA()</f>
        <v>#N/A</v>
      </c>
      <c r="J21">
        <v>41.837999999999994</v>
      </c>
      <c r="K21">
        <v>45.316666666666663</v>
      </c>
      <c r="L21">
        <v>46.970000000000006</v>
      </c>
      <c r="O21">
        <v>20</v>
      </c>
      <c r="P21">
        <f t="shared" ref="P21:P24" si="12">C21+8</f>
        <v>18.305999999999997</v>
      </c>
      <c r="Q21">
        <f t="shared" ref="Q21:Q24" si="13">D21+8</f>
        <v>30.709999999999997</v>
      </c>
      <c r="R21">
        <f t="shared" ref="R21:R24" si="14">E21+8</f>
        <v>35.486000000000004</v>
      </c>
      <c r="S21">
        <f t="shared" ref="S21:S24" si="15">F21+8</f>
        <v>35.936</v>
      </c>
      <c r="T21" t="e">
        <f t="shared" ref="T21:T24" si="16">G21+8</f>
        <v>#N/A</v>
      </c>
      <c r="U21">
        <f t="shared" ref="U21:U24" si="17">H21+8</f>
        <v>37.634</v>
      </c>
      <c r="V21" t="e">
        <f t="shared" ref="V21:V24" si="18">I21+8</f>
        <v>#N/A</v>
      </c>
      <c r="W21">
        <f t="shared" ref="W21:W24" si="19">J21+8</f>
        <v>49.837999999999994</v>
      </c>
      <c r="X21">
        <f t="shared" ref="X21:X24" si="20">K21+8</f>
        <v>53.316666666666663</v>
      </c>
      <c r="Y21">
        <f t="shared" ref="Y21:Y24" si="21">L21+8</f>
        <v>54.970000000000006</v>
      </c>
      <c r="AJ21">
        <v>80</v>
      </c>
      <c r="AK21">
        <v>10.491666666666667</v>
      </c>
      <c r="AL21">
        <v>17.18</v>
      </c>
      <c r="AM21">
        <v>23.862000000000002</v>
      </c>
      <c r="AN21">
        <v>22.346666666666664</v>
      </c>
      <c r="AO21">
        <v>24.762</v>
      </c>
      <c r="AP21">
        <v>24.173333333333332</v>
      </c>
      <c r="AQ21">
        <v>26.756666666666668</v>
      </c>
      <c r="AR21">
        <v>31.093333333333334</v>
      </c>
      <c r="AS21">
        <v>34.543333333333337</v>
      </c>
      <c r="AT21">
        <v>35.948333333333338</v>
      </c>
    </row>
    <row r="22" spans="2:46" x14ac:dyDescent="0.5">
      <c r="B22">
        <v>40</v>
      </c>
      <c r="C22">
        <v>15.806666666666665</v>
      </c>
      <c r="D22">
        <v>26.853333333333335</v>
      </c>
      <c r="E22">
        <v>30.384999999999994</v>
      </c>
      <c r="F22">
        <v>30.721666666666668</v>
      </c>
      <c r="G22">
        <v>30.328333333333333</v>
      </c>
      <c r="H22">
        <v>31.25</v>
      </c>
      <c r="I22">
        <v>36.408000000000001</v>
      </c>
      <c r="J22">
        <v>41.343333333333334</v>
      </c>
      <c r="K22">
        <v>45.036000000000001</v>
      </c>
      <c r="L22">
        <v>47.134</v>
      </c>
      <c r="O22">
        <v>40</v>
      </c>
      <c r="P22">
        <f t="shared" si="12"/>
        <v>23.806666666666665</v>
      </c>
      <c r="Q22">
        <f t="shared" si="13"/>
        <v>34.853333333333339</v>
      </c>
      <c r="R22">
        <f t="shared" si="14"/>
        <v>38.384999999999991</v>
      </c>
      <c r="S22">
        <f t="shared" si="15"/>
        <v>38.721666666666664</v>
      </c>
      <c r="T22">
        <f t="shared" si="16"/>
        <v>38.328333333333333</v>
      </c>
      <c r="U22">
        <f t="shared" si="17"/>
        <v>39.25</v>
      </c>
      <c r="V22">
        <f t="shared" si="18"/>
        <v>44.408000000000001</v>
      </c>
      <c r="W22">
        <f t="shared" si="19"/>
        <v>49.343333333333334</v>
      </c>
      <c r="X22">
        <f t="shared" si="20"/>
        <v>53.036000000000001</v>
      </c>
      <c r="Y22">
        <f t="shared" si="21"/>
        <v>55.134</v>
      </c>
      <c r="AJ22">
        <v>80</v>
      </c>
      <c r="AK22">
        <v>23.115999999999996</v>
      </c>
      <c r="AL22">
        <v>30.770000000000003</v>
      </c>
      <c r="AM22">
        <v>33.930000000000007</v>
      </c>
      <c r="AN22">
        <v>33.650000000000006</v>
      </c>
      <c r="AO22">
        <v>33.426666666666662</v>
      </c>
      <c r="AP22">
        <v>33.408333333333331</v>
      </c>
      <c r="AQ22">
        <v>37.683999999999997</v>
      </c>
      <c r="AR22">
        <v>43.606666666666669</v>
      </c>
      <c r="AS22">
        <v>46.82</v>
      </c>
      <c r="AT22">
        <v>49.361666666666672</v>
      </c>
    </row>
    <row r="23" spans="2:46" x14ac:dyDescent="0.5">
      <c r="B23">
        <v>60</v>
      </c>
      <c r="C23">
        <v>22.6</v>
      </c>
      <c r="D23">
        <v>29.526</v>
      </c>
      <c r="E23">
        <v>33.24</v>
      </c>
      <c r="F23">
        <v>32.768000000000001</v>
      </c>
      <c r="G23">
        <v>32.435999999999993</v>
      </c>
      <c r="H23">
        <v>32.463999999999999</v>
      </c>
      <c r="I23">
        <v>36.736000000000004</v>
      </c>
      <c r="J23">
        <v>42.468333333333334</v>
      </c>
      <c r="K23">
        <v>45.667999999999999</v>
      </c>
      <c r="L23">
        <v>47.44166666666667</v>
      </c>
      <c r="O23">
        <v>60</v>
      </c>
      <c r="P23">
        <f t="shared" si="12"/>
        <v>30.6</v>
      </c>
      <c r="Q23">
        <f t="shared" si="13"/>
        <v>37.525999999999996</v>
      </c>
      <c r="R23">
        <f t="shared" si="14"/>
        <v>41.24</v>
      </c>
      <c r="S23">
        <f t="shared" si="15"/>
        <v>40.768000000000001</v>
      </c>
      <c r="T23">
        <f t="shared" si="16"/>
        <v>40.435999999999993</v>
      </c>
      <c r="U23">
        <f t="shared" si="17"/>
        <v>40.463999999999999</v>
      </c>
      <c r="V23">
        <f t="shared" si="18"/>
        <v>44.736000000000004</v>
      </c>
      <c r="W23">
        <f t="shared" si="19"/>
        <v>50.468333333333334</v>
      </c>
      <c r="X23">
        <f t="shared" si="20"/>
        <v>53.667999999999999</v>
      </c>
      <c r="Y23">
        <f t="shared" si="21"/>
        <v>55.44166666666667</v>
      </c>
      <c r="AJ23">
        <v>80</v>
      </c>
      <c r="AK23">
        <v>29.630000000000003</v>
      </c>
      <c r="AL23">
        <v>36.681666666666672</v>
      </c>
      <c r="AM23">
        <v>40.454999999999998</v>
      </c>
      <c r="AN23">
        <v>39.757999999999996</v>
      </c>
      <c r="AO23">
        <v>39.14</v>
      </c>
      <c r="AP23">
        <v>39.248333333333335</v>
      </c>
      <c r="AQ23">
        <v>43.924999999999997</v>
      </c>
      <c r="AR23">
        <v>49.68666666666666</v>
      </c>
      <c r="AS23">
        <v>53.38666666666667</v>
      </c>
      <c r="AT23">
        <v>55.661666666666669</v>
      </c>
    </row>
    <row r="24" spans="2:46" x14ac:dyDescent="0.5">
      <c r="B24">
        <v>80</v>
      </c>
      <c r="C24">
        <v>21.630000000000003</v>
      </c>
      <c r="D24">
        <v>28.681666666666668</v>
      </c>
      <c r="E24">
        <v>32.454999999999998</v>
      </c>
      <c r="F24">
        <v>31.757999999999999</v>
      </c>
      <c r="G24">
        <v>31.14</v>
      </c>
      <c r="H24">
        <v>31.248333333333335</v>
      </c>
      <c r="I24">
        <v>35.924999999999997</v>
      </c>
      <c r="J24">
        <v>41.68666666666666</v>
      </c>
      <c r="K24">
        <v>45.38666666666667</v>
      </c>
      <c r="L24">
        <v>47.661666666666669</v>
      </c>
      <c r="O24">
        <v>80</v>
      </c>
      <c r="P24">
        <f t="shared" si="12"/>
        <v>29.630000000000003</v>
      </c>
      <c r="Q24">
        <f t="shared" si="13"/>
        <v>36.681666666666672</v>
      </c>
      <c r="R24">
        <f t="shared" si="14"/>
        <v>40.454999999999998</v>
      </c>
      <c r="S24">
        <f t="shared" si="15"/>
        <v>39.757999999999996</v>
      </c>
      <c r="T24">
        <f t="shared" si="16"/>
        <v>39.14</v>
      </c>
      <c r="U24">
        <f t="shared" si="17"/>
        <v>39.248333333333335</v>
      </c>
      <c r="V24">
        <f t="shared" si="18"/>
        <v>43.924999999999997</v>
      </c>
      <c r="W24">
        <f t="shared" si="19"/>
        <v>49.68666666666666</v>
      </c>
      <c r="X24">
        <f t="shared" si="20"/>
        <v>53.38666666666667</v>
      </c>
      <c r="Y24">
        <f t="shared" si="21"/>
        <v>55.661666666666669</v>
      </c>
    </row>
    <row r="26" spans="2:46" x14ac:dyDescent="0.5">
      <c r="U26" t="s">
        <v>18</v>
      </c>
      <c r="V26" t="s">
        <v>8</v>
      </c>
    </row>
    <row r="27" spans="2:46" x14ac:dyDescent="0.5">
      <c r="U27" s="1" t="s">
        <v>19</v>
      </c>
      <c r="V27" t="s">
        <v>9</v>
      </c>
      <c r="W27" s="1"/>
      <c r="X27" s="1"/>
      <c r="Y27" s="1"/>
      <c r="Z27" s="1"/>
      <c r="AA27" s="1"/>
      <c r="AB27" s="1"/>
      <c r="AC27" s="1"/>
      <c r="AD27" s="1"/>
    </row>
    <row r="28" spans="2:46" x14ac:dyDescent="0.5">
      <c r="U28" t="s">
        <v>20</v>
      </c>
      <c r="V28" t="s">
        <v>10</v>
      </c>
    </row>
    <row r="29" spans="2:46" x14ac:dyDescent="0.5">
      <c r="U29" t="s">
        <v>21</v>
      </c>
      <c r="V29" t="s">
        <v>11</v>
      </c>
    </row>
    <row r="30" spans="2:46" x14ac:dyDescent="0.5">
      <c r="U30" t="s">
        <v>22</v>
      </c>
      <c r="V30" t="s">
        <v>12</v>
      </c>
    </row>
    <row r="31" spans="2:46" x14ac:dyDescent="0.5">
      <c r="U31" t="s">
        <v>23</v>
      </c>
    </row>
    <row r="32" spans="2:46" x14ac:dyDescent="0.5">
      <c r="U32" t="s">
        <v>24</v>
      </c>
    </row>
    <row r="33" spans="21:21" x14ac:dyDescent="0.5">
      <c r="U33" t="s">
        <v>25</v>
      </c>
    </row>
    <row r="34" spans="21:21" x14ac:dyDescent="0.5">
      <c r="U34" t="s">
        <v>26</v>
      </c>
    </row>
    <row r="35" spans="21:21" x14ac:dyDescent="0.5">
      <c r="U35" t="s">
        <v>27</v>
      </c>
    </row>
    <row r="75" spans="2:12" x14ac:dyDescent="0.5">
      <c r="B75" s="5" t="s">
        <v>16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2:12" x14ac:dyDescent="0.5">
      <c r="B76" s="5" t="s">
        <v>14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2:12" x14ac:dyDescent="0.5">
      <c r="C77">
        <v>73</v>
      </c>
      <c r="D77">
        <v>120</v>
      </c>
      <c r="E77">
        <v>164</v>
      </c>
      <c r="F77">
        <v>256</v>
      </c>
      <c r="G77">
        <v>353</v>
      </c>
      <c r="H77">
        <v>427</v>
      </c>
      <c r="I77">
        <v>522</v>
      </c>
      <c r="J77">
        <v>586</v>
      </c>
      <c r="K77">
        <v>638</v>
      </c>
      <c r="L77">
        <v>705</v>
      </c>
    </row>
    <row r="78" spans="2:12" x14ac:dyDescent="0.5">
      <c r="B78">
        <v>0</v>
      </c>
      <c r="C78">
        <f>C4-$C$4</f>
        <v>0</v>
      </c>
      <c r="D78">
        <f>D4-$D$4</f>
        <v>0</v>
      </c>
      <c r="E78">
        <f>E4-$E$4</f>
        <v>0</v>
      </c>
      <c r="F78">
        <f>F4-$F$4</f>
        <v>0</v>
      </c>
      <c r="G78">
        <f>G4-$G$4</f>
        <v>0</v>
      </c>
      <c r="H78">
        <f>H4-$H$4</f>
        <v>0</v>
      </c>
      <c r="I78">
        <f>I4-$I$4</f>
        <v>0</v>
      </c>
      <c r="J78">
        <f>J4-$J$4</f>
        <v>0</v>
      </c>
      <c r="K78">
        <f>K4-$K$4</f>
        <v>0</v>
      </c>
      <c r="L78">
        <f>L4-$L$4</f>
        <v>0</v>
      </c>
    </row>
    <row r="79" spans="2:12" x14ac:dyDescent="0.5">
      <c r="B79">
        <v>20</v>
      </c>
      <c r="C79">
        <f t="shared" ref="C79:C82" si="22">C5-$C$4</f>
        <v>1.4850000000000003</v>
      </c>
      <c r="D79">
        <f t="shared" ref="D79:D82" si="23">D5-$D$4</f>
        <v>6.0203333333333315</v>
      </c>
      <c r="E79">
        <f t="shared" ref="E79:E82" si="24">E5-$E$4</f>
        <v>5.5353333333333357</v>
      </c>
      <c r="F79">
        <f t="shared" ref="F79:F82" si="25">F5-$F$4</f>
        <v>4.3846666666666678</v>
      </c>
      <c r="G79">
        <f t="shared" ref="G79:G82" si="26">G5-$G$4</f>
        <v>3.9333333333333336</v>
      </c>
      <c r="H79">
        <f t="shared" ref="H79:H82" si="27">H5-$H$4</f>
        <v>-4.6333333333336668E-2</v>
      </c>
      <c r="I79">
        <f t="shared" ref="I79:I82" si="28">I5-$I$4</f>
        <v>-2.8603333333333367</v>
      </c>
      <c r="J79">
        <f t="shared" ref="J79:J82" si="29">J5-$J$4</f>
        <v>-2.3043333333333322</v>
      </c>
      <c r="K79">
        <f t="shared" ref="K79:K82" si="30">K5-$K$4</f>
        <v>6.6666666666748142E-4</v>
      </c>
      <c r="L79">
        <f t="shared" ref="L79:L82" si="31">L5-$L$4</f>
        <v>-0.3333333333333357</v>
      </c>
    </row>
    <row r="80" spans="2:12" x14ac:dyDescent="0.5">
      <c r="B80">
        <v>40</v>
      </c>
      <c r="C80">
        <f t="shared" si="22"/>
        <v>4.9000000000000012</v>
      </c>
      <c r="D80">
        <f t="shared" si="23"/>
        <v>13.158666666666665</v>
      </c>
      <c r="E80">
        <f t="shared" si="24"/>
        <v>10.921999999999999</v>
      </c>
      <c r="F80">
        <f t="shared" si="25"/>
        <v>9.5280000000000058</v>
      </c>
      <c r="G80">
        <f t="shared" si="26"/>
        <v>7.9560000000000031</v>
      </c>
      <c r="H80">
        <f t="shared" si="27"/>
        <v>2.4819999999999993</v>
      </c>
      <c r="I80">
        <f t="shared" si="28"/>
        <v>-3.5280000000000022</v>
      </c>
      <c r="J80">
        <f t="shared" si="29"/>
        <v>-2.6140000000000043</v>
      </c>
      <c r="K80">
        <f t="shared" si="30"/>
        <v>1.088000000000001</v>
      </c>
      <c r="L80">
        <f t="shared" si="31"/>
        <v>-2.1540000000000035</v>
      </c>
    </row>
    <row r="81" spans="2:12" x14ac:dyDescent="0.5">
      <c r="B81">
        <v>60</v>
      </c>
      <c r="C81">
        <f t="shared" si="22"/>
        <v>10.556000000000001</v>
      </c>
      <c r="D81">
        <f t="shared" si="23"/>
        <v>15.492000000000001</v>
      </c>
      <c r="E81">
        <f t="shared" si="24"/>
        <v>12.322000000000001</v>
      </c>
      <c r="F81">
        <f t="shared" si="25"/>
        <v>9.8659999999999997</v>
      </c>
      <c r="G81">
        <f t="shared" si="26"/>
        <v>8.3360000000000021</v>
      </c>
      <c r="H81">
        <f t="shared" si="27"/>
        <v>3.7680000000000007</v>
      </c>
      <c r="I81">
        <f t="shared" si="28"/>
        <v>-2.532</v>
      </c>
      <c r="J81">
        <f t="shared" si="29"/>
        <v>-2.6120000000000019</v>
      </c>
      <c r="K81">
        <f t="shared" si="30"/>
        <v>0.33900000000000574</v>
      </c>
      <c r="L81">
        <f t="shared" si="31"/>
        <v>-0.961666666666666</v>
      </c>
    </row>
    <row r="82" spans="2:12" x14ac:dyDescent="0.5">
      <c r="B82">
        <v>80</v>
      </c>
      <c r="C82">
        <f t="shared" si="22"/>
        <v>7.1016666666666675</v>
      </c>
      <c r="D82">
        <f t="shared" si="23"/>
        <v>9.8320000000000007</v>
      </c>
      <c r="E82">
        <f t="shared" si="24"/>
        <v>9.1940000000000008</v>
      </c>
      <c r="F82">
        <f t="shared" si="25"/>
        <v>5.554666666666666</v>
      </c>
      <c r="G82">
        <f t="shared" si="26"/>
        <v>6.6120000000000019</v>
      </c>
      <c r="H82">
        <f t="shared" si="27"/>
        <v>1.4453333333333305</v>
      </c>
      <c r="I82">
        <f t="shared" si="28"/>
        <v>-4.1353333333333353</v>
      </c>
      <c r="J82">
        <f t="shared" si="29"/>
        <v>-4.5826666666666682</v>
      </c>
      <c r="K82">
        <f t="shared" si="30"/>
        <v>-2.05266666666666</v>
      </c>
      <c r="L82">
        <f t="shared" si="31"/>
        <v>-4.461666666666666</v>
      </c>
    </row>
    <row r="84" spans="2:12" x14ac:dyDescent="0.5">
      <c r="B84" s="5" t="s">
        <v>15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2:12" x14ac:dyDescent="0.5">
      <c r="C85">
        <v>73</v>
      </c>
      <c r="D85">
        <v>120</v>
      </c>
      <c r="E85">
        <v>164</v>
      </c>
      <c r="F85">
        <v>256</v>
      </c>
      <c r="G85">
        <v>353</v>
      </c>
      <c r="H85">
        <v>427</v>
      </c>
      <c r="I85">
        <v>522</v>
      </c>
      <c r="J85">
        <v>586</v>
      </c>
      <c r="K85">
        <v>638</v>
      </c>
      <c r="L85">
        <v>705</v>
      </c>
    </row>
    <row r="86" spans="2:12" x14ac:dyDescent="0.5">
      <c r="B86">
        <v>0</v>
      </c>
      <c r="C86">
        <f>C12-$C$12</f>
        <v>0</v>
      </c>
      <c r="D86">
        <f>D12-$D$12</f>
        <v>0</v>
      </c>
      <c r="E86">
        <f>E12-$E$12</f>
        <v>0</v>
      </c>
      <c r="F86">
        <f>F12-$F$12</f>
        <v>0</v>
      </c>
      <c r="G86">
        <f>G12-$G$12</f>
        <v>0</v>
      </c>
      <c r="H86">
        <f>H12-$H$12</f>
        <v>0</v>
      </c>
      <c r="I86">
        <f>I12-$I$12</f>
        <v>0</v>
      </c>
      <c r="J86">
        <f>J12-$J$12</f>
        <v>0</v>
      </c>
      <c r="K86">
        <f>K12-$K$12</f>
        <v>0</v>
      </c>
      <c r="L86">
        <f>L12-$L$12</f>
        <v>0</v>
      </c>
    </row>
    <row r="87" spans="2:12" x14ac:dyDescent="0.5">
      <c r="B87">
        <v>20</v>
      </c>
      <c r="C87">
        <f t="shared" ref="C87:C90" si="32">C13-$C$12</f>
        <v>1.3454166666666669</v>
      </c>
      <c r="D87">
        <f t="shared" ref="D87:D90" si="33">D13-$D$12</f>
        <v>2.9783333333333371</v>
      </c>
      <c r="E87">
        <f t="shared" ref="E87:E90" si="34">E13-$E$12</f>
        <v>3.8303333333333356</v>
      </c>
      <c r="F87">
        <f t="shared" ref="F87:F90" si="35">F13-$F$12</f>
        <v>3.3406666666666673</v>
      </c>
      <c r="G87">
        <f t="shared" ref="G87:G90" si="36">G13-$G$12</f>
        <v>2.1166666666666671</v>
      </c>
      <c r="H87">
        <f t="shared" ref="H87:H90" si="37">H13-$H$12</f>
        <v>0.78999999999999915</v>
      </c>
      <c r="I87">
        <f t="shared" ref="I87:I90" si="38">I13-$I$12</f>
        <v>-0.38233333333332808</v>
      </c>
      <c r="J87">
        <f t="shared" ref="J87:J90" si="39">J13-$J$12</f>
        <v>1.0369999999999919</v>
      </c>
      <c r="K87">
        <f t="shared" ref="K87:K90" si="40">K13-$K$12</f>
        <v>0.3090000000000046</v>
      </c>
      <c r="L87">
        <f t="shared" ref="L87:L90" si="41">L13-$L$12</f>
        <v>0.67633333333332502</v>
      </c>
    </row>
    <row r="88" spans="2:12" x14ac:dyDescent="0.5">
      <c r="B88">
        <v>40</v>
      </c>
      <c r="C88">
        <f t="shared" si="32"/>
        <v>9.4497499999999981</v>
      </c>
      <c r="D88">
        <f t="shared" si="33"/>
        <v>12.626666666666669</v>
      </c>
      <c r="E88">
        <f t="shared" si="34"/>
        <v>9.658333333333335</v>
      </c>
      <c r="F88">
        <f t="shared" si="35"/>
        <v>8.196666666666669</v>
      </c>
      <c r="G88">
        <f t="shared" si="36"/>
        <v>5.754999999999999</v>
      </c>
      <c r="H88">
        <f t="shared" si="37"/>
        <v>2.9840000000000018</v>
      </c>
      <c r="I88">
        <f t="shared" si="38"/>
        <v>-1.6833333333333371</v>
      </c>
      <c r="J88">
        <f t="shared" si="39"/>
        <v>9.1666666666668561E-2</v>
      </c>
      <c r="K88">
        <f t="shared" si="40"/>
        <v>-0.58166666666666345</v>
      </c>
      <c r="L88">
        <f t="shared" si="41"/>
        <v>-0.71199999999999619</v>
      </c>
    </row>
    <row r="89" spans="2:12" x14ac:dyDescent="0.5">
      <c r="B89">
        <v>60</v>
      </c>
      <c r="C89">
        <f t="shared" si="32"/>
        <v>15.173749999999998</v>
      </c>
      <c r="D89">
        <f t="shared" si="33"/>
        <v>14.968000000000004</v>
      </c>
      <c r="E89">
        <f t="shared" si="34"/>
        <v>11.853333333333335</v>
      </c>
      <c r="F89">
        <f t="shared" si="35"/>
        <v>10.335000000000001</v>
      </c>
      <c r="G89">
        <f t="shared" si="36"/>
        <v>8.3166666666666664</v>
      </c>
      <c r="H89">
        <f t="shared" si="37"/>
        <v>4.43</v>
      </c>
      <c r="I89">
        <f t="shared" si="38"/>
        <v>-0.26000000000000512</v>
      </c>
      <c r="J89">
        <f t="shared" si="39"/>
        <v>0.25833333333332575</v>
      </c>
      <c r="K89" t="e">
        <f t="shared" si="40"/>
        <v>#N/A</v>
      </c>
      <c r="L89">
        <f t="shared" si="41"/>
        <v>-0.38700000000000045</v>
      </c>
    </row>
    <row r="90" spans="2:12" x14ac:dyDescent="0.5">
      <c r="B90">
        <v>80</v>
      </c>
      <c r="C90">
        <f t="shared" si="32"/>
        <v>16.339749999999995</v>
      </c>
      <c r="D90">
        <f t="shared" si="33"/>
        <v>15.240000000000006</v>
      </c>
      <c r="E90">
        <f t="shared" si="34"/>
        <v>11.268333333333338</v>
      </c>
      <c r="F90">
        <f t="shared" si="35"/>
        <v>9.9066666666666663</v>
      </c>
      <c r="G90">
        <f t="shared" si="36"/>
        <v>7.4766666666666666</v>
      </c>
      <c r="H90">
        <f t="shared" si="37"/>
        <v>3.428333333333331</v>
      </c>
      <c r="I90">
        <f t="shared" si="38"/>
        <v>-1.0843333333333334</v>
      </c>
      <c r="J90">
        <f t="shared" si="39"/>
        <v>0.33166666666666345</v>
      </c>
      <c r="K90">
        <f t="shared" si="40"/>
        <v>-0.58499999999999375</v>
      </c>
      <c r="L90">
        <f t="shared" si="41"/>
        <v>0.42966666666666953</v>
      </c>
    </row>
    <row r="92" spans="2:12" x14ac:dyDescent="0.5">
      <c r="B92" s="5" t="s">
        <v>13</v>
      </c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2:12" x14ac:dyDescent="0.5">
      <c r="C93">
        <v>73</v>
      </c>
      <c r="D93">
        <v>120</v>
      </c>
      <c r="E93">
        <v>164</v>
      </c>
      <c r="F93">
        <v>256</v>
      </c>
      <c r="G93">
        <v>353</v>
      </c>
      <c r="H93">
        <v>427</v>
      </c>
      <c r="I93">
        <v>522</v>
      </c>
      <c r="J93">
        <v>586</v>
      </c>
      <c r="K93">
        <v>638</v>
      </c>
      <c r="L93">
        <v>705</v>
      </c>
    </row>
    <row r="94" spans="2:12" x14ac:dyDescent="0.5">
      <c r="B94">
        <v>0</v>
      </c>
      <c r="C94">
        <f>C20-$C$20</f>
        <v>0</v>
      </c>
      <c r="D94">
        <f>D20-$D$20</f>
        <v>0</v>
      </c>
      <c r="E94">
        <f>E20-$E$20</f>
        <v>0</v>
      </c>
      <c r="F94">
        <f>F20-$F$20</f>
        <v>0</v>
      </c>
      <c r="G94">
        <f>G20-$G$20</f>
        <v>0</v>
      </c>
      <c r="H94">
        <f>H20-$H$20</f>
        <v>0</v>
      </c>
      <c r="I94">
        <f>I20-$I$20</f>
        <v>0</v>
      </c>
      <c r="J94">
        <f>J20-$J$20</f>
        <v>0</v>
      </c>
      <c r="K94">
        <f>K20-$K$20</f>
        <v>0</v>
      </c>
      <c r="L94">
        <f>L20-$L$20</f>
        <v>0</v>
      </c>
    </row>
    <row r="95" spans="2:12" x14ac:dyDescent="0.5">
      <c r="B95">
        <v>20</v>
      </c>
      <c r="C95">
        <f t="shared" ref="C95:C98" si="42">C21-$C$20</f>
        <v>3.6393333333333322</v>
      </c>
      <c r="D95">
        <f t="shared" ref="D95:D98" si="43">D21-$D$20</f>
        <v>5.8066666666666649</v>
      </c>
      <c r="E95">
        <f t="shared" ref="E95:E98" si="44">E21-$E$20</f>
        <v>4.1276666666666664</v>
      </c>
      <c r="F95">
        <f t="shared" ref="F95:F98" si="45">F21-$F$20</f>
        <v>3.6340000000000003</v>
      </c>
      <c r="G95" t="e">
        <f t="shared" ref="G95:G98" si="46">G21-$G$20</f>
        <v>#N/A</v>
      </c>
      <c r="H95">
        <f t="shared" ref="H95:H98" si="47">H21-$H$20</f>
        <v>0.86400000000000077</v>
      </c>
      <c r="I95" t="e">
        <f t="shared" ref="I95:I98" si="48">I21-$I$20</f>
        <v>#N/A</v>
      </c>
      <c r="J95">
        <f t="shared" ref="J95:J98" si="49">J21-$J$20</f>
        <v>-1.1260000000000048</v>
      </c>
      <c r="K95">
        <f t="shared" ref="K95:K98" si="50">K21-$K$20</f>
        <v>-0.50533333333333985</v>
      </c>
      <c r="L95">
        <f t="shared" ref="L95:L98" si="51">L21-$L$20</f>
        <v>-0.52999999999998693</v>
      </c>
    </row>
    <row r="96" spans="2:12" x14ac:dyDescent="0.5">
      <c r="B96">
        <v>40</v>
      </c>
      <c r="C96">
        <f t="shared" si="42"/>
        <v>9.139999999999997</v>
      </c>
      <c r="D96">
        <f t="shared" si="43"/>
        <v>9.9500000000000028</v>
      </c>
      <c r="E96">
        <f t="shared" si="44"/>
        <v>7.0266666666666602</v>
      </c>
      <c r="F96">
        <f t="shared" si="45"/>
        <v>6.419666666666668</v>
      </c>
      <c r="G96">
        <f t="shared" si="46"/>
        <v>5.592333333333336</v>
      </c>
      <c r="H96">
        <f t="shared" si="47"/>
        <v>2.4800000000000004</v>
      </c>
      <c r="I96">
        <f t="shared" si="48"/>
        <v>-1.4519999999999982</v>
      </c>
      <c r="J96">
        <f t="shared" si="49"/>
        <v>-1.6206666666666649</v>
      </c>
      <c r="K96">
        <f t="shared" si="50"/>
        <v>-0.78600000000000136</v>
      </c>
      <c r="L96">
        <f t="shared" si="51"/>
        <v>-0.36599999999999255</v>
      </c>
    </row>
    <row r="97" spans="2:12" x14ac:dyDescent="0.5">
      <c r="B97">
        <v>60</v>
      </c>
      <c r="C97">
        <f t="shared" si="42"/>
        <v>15.933333333333334</v>
      </c>
      <c r="D97">
        <f t="shared" si="43"/>
        <v>12.622666666666667</v>
      </c>
      <c r="E97">
        <f t="shared" si="44"/>
        <v>9.8816666666666677</v>
      </c>
      <c r="F97">
        <f t="shared" si="45"/>
        <v>8.4660000000000011</v>
      </c>
      <c r="G97">
        <f t="shared" si="46"/>
        <v>7.6999999999999957</v>
      </c>
      <c r="H97">
        <f t="shared" si="47"/>
        <v>3.6939999999999991</v>
      </c>
      <c r="I97">
        <f t="shared" si="48"/>
        <v>-1.1239999999999952</v>
      </c>
      <c r="J97">
        <f t="shared" si="49"/>
        <v>-0.49566666666666492</v>
      </c>
      <c r="K97">
        <f t="shared" si="50"/>
        <v>-0.15400000000000347</v>
      </c>
      <c r="L97">
        <f t="shared" si="51"/>
        <v>-5.8333333333322912E-2</v>
      </c>
    </row>
    <row r="98" spans="2:12" x14ac:dyDescent="0.5">
      <c r="B98">
        <v>80</v>
      </c>
      <c r="C98">
        <f t="shared" si="42"/>
        <v>14.963333333333335</v>
      </c>
      <c r="D98">
        <f t="shared" si="43"/>
        <v>11.778333333333336</v>
      </c>
      <c r="E98">
        <f t="shared" si="44"/>
        <v>9.096666666666664</v>
      </c>
      <c r="F98">
        <f t="shared" si="45"/>
        <v>7.4559999999999995</v>
      </c>
      <c r="G98">
        <f t="shared" si="46"/>
        <v>6.4040000000000035</v>
      </c>
      <c r="H98">
        <f t="shared" si="47"/>
        <v>2.4783333333333353</v>
      </c>
      <c r="I98">
        <f t="shared" si="48"/>
        <v>-1.9350000000000023</v>
      </c>
      <c r="J98">
        <f t="shared" si="49"/>
        <v>-1.2773333333333383</v>
      </c>
      <c r="K98">
        <f t="shared" si="50"/>
        <v>-0.43533333333333246</v>
      </c>
      <c r="L98">
        <f t="shared" si="51"/>
        <v>0.16166666666667595</v>
      </c>
    </row>
  </sheetData>
  <mergeCells count="12">
    <mergeCell ref="B75:L75"/>
    <mergeCell ref="B76:L76"/>
    <mergeCell ref="B84:L84"/>
    <mergeCell ref="B92:L92"/>
    <mergeCell ref="B1:L1"/>
    <mergeCell ref="O1:Y1"/>
    <mergeCell ref="B18:L18"/>
    <mergeCell ref="B10:L10"/>
    <mergeCell ref="B2:L2"/>
    <mergeCell ref="O2:Y2"/>
    <mergeCell ref="O10:Y10"/>
    <mergeCell ref="O18:Y1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C732-9FB0-4C19-B66B-2F800264AA3C}">
  <dimension ref="A1:Q16"/>
  <sheetViews>
    <sheetView topLeftCell="Q1" workbookViewId="0">
      <selection activeCell="C26" sqref="C26"/>
    </sheetView>
  </sheetViews>
  <sheetFormatPr defaultRowHeight="14.35" x14ac:dyDescent="0.5"/>
  <sheetData>
    <row r="1" spans="1:17" x14ac:dyDescent="0.5">
      <c r="A1" s="5" t="s">
        <v>14</v>
      </c>
      <c r="B1" s="5"/>
      <c r="C1" s="5"/>
      <c r="D1" s="5"/>
      <c r="E1" s="5"/>
      <c r="G1" s="5" t="s">
        <v>15</v>
      </c>
      <c r="H1" s="5"/>
      <c r="I1" s="5"/>
      <c r="J1" s="5"/>
      <c r="K1" s="5"/>
      <c r="M1" s="5" t="s">
        <v>13</v>
      </c>
      <c r="N1" s="5"/>
      <c r="O1" s="5"/>
      <c r="P1" s="5"/>
      <c r="Q1" s="5"/>
    </row>
    <row r="2" spans="1:17" x14ac:dyDescent="0.5">
      <c r="A2">
        <v>0</v>
      </c>
      <c r="B2">
        <v>20</v>
      </c>
      <c r="C2">
        <v>40</v>
      </c>
      <c r="D2">
        <v>60</v>
      </c>
      <c r="E2">
        <v>80</v>
      </c>
      <c r="G2">
        <v>0</v>
      </c>
      <c r="H2">
        <v>20</v>
      </c>
      <c r="I2">
        <v>40</v>
      </c>
      <c r="J2">
        <v>60</v>
      </c>
      <c r="K2">
        <v>80</v>
      </c>
      <c r="M2">
        <v>0</v>
      </c>
      <c r="N2">
        <v>20</v>
      </c>
      <c r="O2">
        <v>40</v>
      </c>
      <c r="P2">
        <v>60</v>
      </c>
      <c r="Q2">
        <v>80</v>
      </c>
    </row>
    <row r="3" spans="1:17" x14ac:dyDescent="0.5">
      <c r="A3">
        <v>24.94</v>
      </c>
      <c r="B3">
        <v>24.54</v>
      </c>
      <c r="C3">
        <v>23.9</v>
      </c>
      <c r="D3">
        <v>25.15</v>
      </c>
      <c r="E3">
        <v>20.7</v>
      </c>
      <c r="G3">
        <v>31.33</v>
      </c>
      <c r="H3">
        <v>32.08</v>
      </c>
      <c r="I3">
        <v>29.97</v>
      </c>
      <c r="J3">
        <v>29.52</v>
      </c>
      <c r="K3">
        <v>29.54</v>
      </c>
      <c r="M3">
        <v>36.9</v>
      </c>
      <c r="N3">
        <v>35.93</v>
      </c>
      <c r="O3">
        <v>35.35</v>
      </c>
      <c r="P3">
        <v>34.96</v>
      </c>
      <c r="Q3">
        <v>34.51</v>
      </c>
    </row>
    <row r="4" spans="1:17" x14ac:dyDescent="0.5">
      <c r="A4">
        <v>24.48</v>
      </c>
      <c r="B4">
        <v>24.62</v>
      </c>
      <c r="C4">
        <v>22.96</v>
      </c>
      <c r="D4">
        <v>24.55</v>
      </c>
      <c r="E4">
        <v>18.88</v>
      </c>
      <c r="G4">
        <v>30.97</v>
      </c>
      <c r="H4">
        <v>31.64</v>
      </c>
      <c r="I4">
        <v>29.81</v>
      </c>
      <c r="J4">
        <v>29.24</v>
      </c>
      <c r="K4">
        <v>29.31</v>
      </c>
      <c r="M4">
        <v>36.79</v>
      </c>
      <c r="N4">
        <v>35.85</v>
      </c>
      <c r="O4">
        <v>35.24</v>
      </c>
      <c r="P4">
        <v>34.86</v>
      </c>
      <c r="Q4">
        <v>34.43</v>
      </c>
    </row>
    <row r="5" spans="1:17" x14ac:dyDescent="0.5">
      <c r="A5">
        <v>23.83</v>
      </c>
      <c r="B5">
        <v>23.27</v>
      </c>
      <c r="C5">
        <v>22.58</v>
      </c>
      <c r="D5">
        <v>24.44</v>
      </c>
      <c r="E5">
        <v>20.02</v>
      </c>
      <c r="G5">
        <v>30.92</v>
      </c>
      <c r="H5">
        <v>31.47</v>
      </c>
      <c r="I5">
        <v>29.57</v>
      </c>
      <c r="J5">
        <v>29.2</v>
      </c>
      <c r="K5">
        <v>29.22</v>
      </c>
      <c r="M5">
        <v>36.700000000000003</v>
      </c>
      <c r="N5">
        <v>35.700000000000003</v>
      </c>
      <c r="O5">
        <v>35.090000000000003</v>
      </c>
      <c r="P5">
        <v>34.86</v>
      </c>
      <c r="Q5">
        <v>34.35</v>
      </c>
    </row>
    <row r="6" spans="1:17" x14ac:dyDescent="0.5">
      <c r="A6">
        <v>23.57</v>
      </c>
      <c r="B6">
        <v>23.37</v>
      </c>
      <c r="C6">
        <v>22.09</v>
      </c>
      <c r="D6">
        <v>24.01</v>
      </c>
      <c r="E6">
        <v>20</v>
      </c>
      <c r="G6">
        <v>30.72</v>
      </c>
      <c r="H6">
        <v>31.26</v>
      </c>
      <c r="I6">
        <v>29.58</v>
      </c>
      <c r="J6">
        <v>29.11</v>
      </c>
      <c r="K6">
        <v>29.17</v>
      </c>
      <c r="M6">
        <v>36.71</v>
      </c>
      <c r="N6">
        <v>35.590000000000003</v>
      </c>
      <c r="O6">
        <v>35.159999999999997</v>
      </c>
      <c r="P6">
        <v>34.869999999999997</v>
      </c>
      <c r="Q6">
        <v>34.409999999999997</v>
      </c>
    </row>
    <row r="7" spans="1:17" x14ac:dyDescent="0.5">
      <c r="A7">
        <v>23.29</v>
      </c>
      <c r="B7">
        <v>22.83</v>
      </c>
      <c r="C7">
        <v>22.26</v>
      </c>
      <c r="D7">
        <v>24.17</v>
      </c>
      <c r="E7">
        <v>19.36</v>
      </c>
      <c r="G7">
        <v>30.86</v>
      </c>
      <c r="H7">
        <v>31.44</v>
      </c>
      <c r="I7">
        <v>29.49</v>
      </c>
      <c r="J7">
        <v>29.08</v>
      </c>
      <c r="K7">
        <v>29.19</v>
      </c>
      <c r="M7">
        <v>36.76</v>
      </c>
      <c r="N7">
        <v>35.520000000000003</v>
      </c>
      <c r="O7">
        <v>34.99</v>
      </c>
      <c r="P7">
        <v>34.92</v>
      </c>
      <c r="Q7">
        <v>34.39</v>
      </c>
    </row>
    <row r="8" spans="1:17" x14ac:dyDescent="0.5">
      <c r="B8">
        <v>23.11</v>
      </c>
      <c r="H8">
        <v>31.29</v>
      </c>
      <c r="I8">
        <v>29.46</v>
      </c>
    </row>
    <row r="10" spans="1:17" x14ac:dyDescent="0.5">
      <c r="A10">
        <f>AVERAGE(A3:A8)</f>
        <v>24.021999999999998</v>
      </c>
      <c r="B10">
        <f t="shared" ref="B10:Q10" si="0">AVERAGE(B3:B8)</f>
        <v>23.623333333333335</v>
      </c>
      <c r="C10">
        <f t="shared" si="0"/>
        <v>22.758000000000003</v>
      </c>
      <c r="D10">
        <f t="shared" si="0"/>
        <v>24.464000000000002</v>
      </c>
      <c r="E10">
        <f t="shared" si="0"/>
        <v>19.791999999999998</v>
      </c>
      <c r="G10">
        <f t="shared" si="0"/>
        <v>30.96</v>
      </c>
      <c r="H10">
        <f t="shared" si="0"/>
        <v>31.53</v>
      </c>
      <c r="I10">
        <f t="shared" si="0"/>
        <v>29.646666666666665</v>
      </c>
      <c r="J10">
        <f t="shared" si="0"/>
        <v>29.229999999999997</v>
      </c>
      <c r="K10">
        <f t="shared" si="0"/>
        <v>29.286000000000001</v>
      </c>
      <c r="M10">
        <f t="shared" si="0"/>
        <v>36.771999999999998</v>
      </c>
      <c r="N10">
        <f t="shared" si="0"/>
        <v>35.718000000000004</v>
      </c>
      <c r="O10">
        <f t="shared" si="0"/>
        <v>35.166000000000004</v>
      </c>
      <c r="P10">
        <f t="shared" si="0"/>
        <v>34.893999999999991</v>
      </c>
      <c r="Q10">
        <f t="shared" si="0"/>
        <v>34.417999999999992</v>
      </c>
    </row>
    <row r="11" spans="1:17" x14ac:dyDescent="0.5">
      <c r="A11">
        <f>_xlfn.STDEV.P(A3:A8)</f>
        <v>0.60489337903468643</v>
      </c>
      <c r="B11">
        <f t="shared" ref="B11:Q11" si="1">_xlfn.STDEV.P(B3:B8)</f>
        <v>0.69708121637455045</v>
      </c>
      <c r="C11">
        <f t="shared" si="1"/>
        <v>0.64356507052511736</v>
      </c>
      <c r="D11">
        <f t="shared" si="1"/>
        <v>0.39271363612688465</v>
      </c>
      <c r="E11">
        <f t="shared" si="1"/>
        <v>0.62258814636965276</v>
      </c>
      <c r="G11">
        <f t="shared" si="1"/>
        <v>0.20307634032550381</v>
      </c>
      <c r="H11">
        <f t="shared" si="1"/>
        <v>0.27592269448766432</v>
      </c>
      <c r="I11">
        <f t="shared" si="1"/>
        <v>0.18299969641747704</v>
      </c>
      <c r="J11">
        <f t="shared" si="1"/>
        <v>0.15620499351813336</v>
      </c>
      <c r="K11">
        <f t="shared" si="1"/>
        <v>0.13573503600765649</v>
      </c>
      <c r="M11">
        <f t="shared" si="1"/>
        <v>7.1944422994418597E-2</v>
      </c>
      <c r="N11">
        <f t="shared" si="1"/>
        <v>0.15380507143784175</v>
      </c>
      <c r="O11">
        <f t="shared" si="1"/>
        <v>0.12338557452149716</v>
      </c>
      <c r="P11">
        <f t="shared" si="1"/>
        <v>3.9799497484265804E-2</v>
      </c>
      <c r="Q11">
        <f t="shared" si="1"/>
        <v>5.306599664568537E-2</v>
      </c>
    </row>
    <row r="14" spans="1:17" x14ac:dyDescent="0.5">
      <c r="A14">
        <v>24.021999999999998</v>
      </c>
      <c r="B14">
        <v>23.623333333333335</v>
      </c>
      <c r="C14">
        <v>22.758000000000003</v>
      </c>
      <c r="D14">
        <v>24.464000000000002</v>
      </c>
      <c r="E14">
        <v>19.791999999999998</v>
      </c>
      <c r="G14">
        <f>A15-A14</f>
        <v>6.9380000000000024</v>
      </c>
      <c r="H14">
        <f t="shared" ref="H14:K15" si="2">B15-B14</f>
        <v>7.9066666666666663</v>
      </c>
      <c r="I14">
        <f t="shared" si="2"/>
        <v>6.8886666666666621</v>
      </c>
      <c r="J14">
        <f t="shared" si="2"/>
        <v>4.7659999999999947</v>
      </c>
      <c r="K14">
        <f t="shared" si="2"/>
        <v>9.4940000000000033</v>
      </c>
    </row>
    <row r="15" spans="1:17" x14ac:dyDescent="0.5">
      <c r="A15">
        <v>30.96</v>
      </c>
      <c r="B15">
        <v>31.53</v>
      </c>
      <c r="C15">
        <v>29.646666666666665</v>
      </c>
      <c r="D15">
        <v>29.229999999999997</v>
      </c>
      <c r="E15">
        <v>29.286000000000001</v>
      </c>
      <c r="G15">
        <f>A16-A15</f>
        <v>5.8119999999999976</v>
      </c>
      <c r="H15">
        <f t="shared" si="2"/>
        <v>4.1880000000000024</v>
      </c>
      <c r="I15">
        <f t="shared" si="2"/>
        <v>5.5193333333333392</v>
      </c>
      <c r="J15">
        <f t="shared" si="2"/>
        <v>5.6639999999999944</v>
      </c>
      <c r="K15">
        <f t="shared" si="2"/>
        <v>5.1319999999999908</v>
      </c>
    </row>
    <row r="16" spans="1:17" x14ac:dyDescent="0.5">
      <c r="A16">
        <v>36.771999999999998</v>
      </c>
      <c r="B16">
        <v>35.718000000000004</v>
      </c>
      <c r="C16">
        <v>35.166000000000004</v>
      </c>
      <c r="D16">
        <v>34.893999999999991</v>
      </c>
      <c r="E16">
        <v>34.417999999999992</v>
      </c>
    </row>
  </sheetData>
  <mergeCells count="3">
    <mergeCell ref="A1:E1"/>
    <mergeCell ref="G1:K1"/>
    <mergeCell ref="M1:Q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E0A1-A512-4BDC-8CA2-54F6855AEF79}">
  <dimension ref="B1:AK77"/>
  <sheetViews>
    <sheetView topLeftCell="T1" zoomScale="78" zoomScaleNormal="85" workbookViewId="0">
      <selection activeCell="AB5" sqref="AB5"/>
    </sheetView>
  </sheetViews>
  <sheetFormatPr defaultRowHeight="14.35" x14ac:dyDescent="0.5"/>
  <sheetData>
    <row r="1" spans="2:37" x14ac:dyDescent="0.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37" x14ac:dyDescent="0.5">
      <c r="B2" t="s">
        <v>1</v>
      </c>
      <c r="C2">
        <v>74</v>
      </c>
      <c r="D2">
        <v>69</v>
      </c>
      <c r="E2">
        <v>62</v>
      </c>
      <c r="F2">
        <v>57</v>
      </c>
      <c r="G2">
        <v>53</v>
      </c>
      <c r="H2">
        <v>50</v>
      </c>
      <c r="I2">
        <v>47</v>
      </c>
      <c r="J2">
        <v>45</v>
      </c>
      <c r="K2">
        <v>43</v>
      </c>
      <c r="L2">
        <v>41</v>
      </c>
    </row>
    <row r="3" spans="2:37" x14ac:dyDescent="0.5">
      <c r="B3" t="s">
        <v>2</v>
      </c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>
        <v>73</v>
      </c>
      <c r="Q3">
        <v>120</v>
      </c>
      <c r="R3">
        <v>164</v>
      </c>
      <c r="S3">
        <v>256</v>
      </c>
      <c r="T3">
        <v>353</v>
      </c>
      <c r="U3">
        <v>427</v>
      </c>
      <c r="V3">
        <v>522</v>
      </c>
      <c r="W3">
        <v>586</v>
      </c>
      <c r="X3">
        <v>638</v>
      </c>
      <c r="Y3">
        <v>705</v>
      </c>
      <c r="AB3">
        <v>73</v>
      </c>
      <c r="AC3">
        <v>120</v>
      </c>
      <c r="AD3">
        <v>164</v>
      </c>
      <c r="AE3">
        <v>256</v>
      </c>
      <c r="AF3">
        <v>353</v>
      </c>
      <c r="AG3">
        <v>427</v>
      </c>
      <c r="AH3">
        <v>522</v>
      </c>
      <c r="AI3">
        <v>586</v>
      </c>
      <c r="AJ3">
        <v>638</v>
      </c>
      <c r="AK3">
        <v>705</v>
      </c>
    </row>
    <row r="4" spans="2:37" x14ac:dyDescent="0.5">
      <c r="B4" t="s">
        <v>3</v>
      </c>
      <c r="C4">
        <v>3</v>
      </c>
      <c r="D4">
        <v>4</v>
      </c>
      <c r="E4">
        <v>6</v>
      </c>
      <c r="F4">
        <v>8</v>
      </c>
      <c r="G4">
        <v>10</v>
      </c>
      <c r="H4">
        <v>12</v>
      </c>
      <c r="I4">
        <v>14</v>
      </c>
      <c r="J4">
        <v>16</v>
      </c>
      <c r="K4">
        <v>18</v>
      </c>
      <c r="L4">
        <v>20</v>
      </c>
      <c r="O4" t="s">
        <v>8</v>
      </c>
      <c r="P4">
        <f>C14</f>
        <v>3.7666666666666662</v>
      </c>
      <c r="Q4">
        <f t="shared" ref="Q4:Y4" si="0">D14</f>
        <v>14.151666666666666</v>
      </c>
      <c r="R4">
        <f t="shared" si="0"/>
        <v>21.705714285714286</v>
      </c>
      <c r="S4">
        <f t="shared" si="0"/>
        <v>22.258333333333336</v>
      </c>
      <c r="T4">
        <f t="shared" si="0"/>
        <v>23.161999999999999</v>
      </c>
      <c r="U4">
        <f t="shared" si="0"/>
        <v>27.276666666666667</v>
      </c>
      <c r="V4">
        <f t="shared" si="0"/>
        <v>36.643333333333331</v>
      </c>
      <c r="W4">
        <f t="shared" si="0"/>
        <v>41.594999999999999</v>
      </c>
      <c r="X4">
        <f t="shared" si="0"/>
        <v>44.341666666666669</v>
      </c>
      <c r="Y4">
        <f t="shared" si="0"/>
        <v>46.448333333333331</v>
      </c>
      <c r="AA4" t="s">
        <v>8</v>
      </c>
      <c r="AB4">
        <f>P4+6</f>
        <v>9.7666666666666657</v>
      </c>
      <c r="AC4">
        <f t="shared" ref="AC4:AK8" si="1">Q4+6</f>
        <v>20.151666666666664</v>
      </c>
      <c r="AD4">
        <f t="shared" si="1"/>
        <v>27.705714285714286</v>
      </c>
      <c r="AE4">
        <f t="shared" si="1"/>
        <v>28.258333333333336</v>
      </c>
      <c r="AF4">
        <f t="shared" si="1"/>
        <v>29.161999999999999</v>
      </c>
      <c r="AG4">
        <f t="shared" si="1"/>
        <v>33.276666666666671</v>
      </c>
      <c r="AH4">
        <f t="shared" si="1"/>
        <v>42.643333333333331</v>
      </c>
      <c r="AI4">
        <f t="shared" si="1"/>
        <v>47.594999999999999</v>
      </c>
      <c r="AJ4">
        <f t="shared" si="1"/>
        <v>50.341666666666669</v>
      </c>
      <c r="AK4">
        <f t="shared" si="1"/>
        <v>52.448333333333331</v>
      </c>
    </row>
    <row r="5" spans="2:37" x14ac:dyDescent="0.5">
      <c r="C5">
        <v>4.28</v>
      </c>
      <c r="D5">
        <v>14.22</v>
      </c>
      <c r="E5">
        <v>21.8</v>
      </c>
      <c r="F5">
        <v>22.73</v>
      </c>
      <c r="G5">
        <v>23.51</v>
      </c>
      <c r="H5">
        <v>19.899999999999999</v>
      </c>
      <c r="I5">
        <v>29.26</v>
      </c>
      <c r="J5">
        <v>33.630000000000003</v>
      </c>
      <c r="K5">
        <v>37.299999999999997</v>
      </c>
      <c r="L5">
        <v>39.25</v>
      </c>
      <c r="O5" t="s">
        <v>9</v>
      </c>
      <c r="P5">
        <f>C30</f>
        <v>6.8116666666666674</v>
      </c>
      <c r="Q5">
        <f t="shared" ref="Q5:Y5" si="2">D30</f>
        <v>17.821666666666665</v>
      </c>
      <c r="R5">
        <f t="shared" si="2"/>
        <v>24.116666666666664</v>
      </c>
      <c r="S5">
        <f t="shared" si="2"/>
        <v>24.121666666666666</v>
      </c>
      <c r="T5">
        <f t="shared" si="2"/>
        <v>24.66</v>
      </c>
      <c r="U5">
        <f t="shared" si="2"/>
        <v>27.903333333333332</v>
      </c>
      <c r="V5">
        <f t="shared" si="2"/>
        <v>36.656666666666666</v>
      </c>
      <c r="W5">
        <f t="shared" si="2"/>
        <v>42.023333333333333</v>
      </c>
      <c r="X5">
        <f t="shared" si="2"/>
        <v>45.664999999999999</v>
      </c>
      <c r="Y5">
        <f t="shared" si="2"/>
        <v>46.938571428571429</v>
      </c>
      <c r="AA5" t="s">
        <v>9</v>
      </c>
      <c r="AB5">
        <f t="shared" ref="AB5:AB8" si="3">P5+6</f>
        <v>12.811666666666667</v>
      </c>
      <c r="AC5">
        <f t="shared" si="1"/>
        <v>23.821666666666665</v>
      </c>
      <c r="AD5">
        <f t="shared" si="1"/>
        <v>30.116666666666664</v>
      </c>
      <c r="AE5">
        <f t="shared" si="1"/>
        <v>30.121666666666666</v>
      </c>
      <c r="AF5">
        <f t="shared" si="1"/>
        <v>30.66</v>
      </c>
      <c r="AG5">
        <f t="shared" si="1"/>
        <v>33.903333333333336</v>
      </c>
      <c r="AH5">
        <f t="shared" si="1"/>
        <v>42.656666666666666</v>
      </c>
      <c r="AI5">
        <f t="shared" si="1"/>
        <v>48.023333333333333</v>
      </c>
      <c r="AJ5">
        <f t="shared" si="1"/>
        <v>51.664999999999999</v>
      </c>
      <c r="AK5">
        <f t="shared" si="1"/>
        <v>52.938571428571429</v>
      </c>
    </row>
    <row r="6" spans="2:37" x14ac:dyDescent="0.5">
      <c r="C6">
        <v>2.82</v>
      </c>
      <c r="D6">
        <v>13.82</v>
      </c>
      <c r="E6">
        <v>21.24</v>
      </c>
      <c r="F6">
        <v>22.26</v>
      </c>
      <c r="G6">
        <v>22.66</v>
      </c>
      <c r="H6">
        <v>19.27</v>
      </c>
      <c r="I6">
        <v>28.63</v>
      </c>
      <c r="J6">
        <v>33.380000000000003</v>
      </c>
      <c r="K6">
        <v>35.840000000000003</v>
      </c>
      <c r="L6">
        <v>38.200000000000003</v>
      </c>
      <c r="O6" t="s">
        <v>10</v>
      </c>
      <c r="P6">
        <f>C45</f>
        <v>13.376666666666667</v>
      </c>
      <c r="Q6">
        <f t="shared" ref="Q6:Y6" si="4">D45</f>
        <v>26.066666666666663</v>
      </c>
      <c r="R6">
        <f t="shared" si="4"/>
        <v>29.558333333333334</v>
      </c>
      <c r="S6">
        <f t="shared" si="4"/>
        <v>28.95</v>
      </c>
      <c r="T6">
        <f t="shared" si="4"/>
        <v>29.319999999999997</v>
      </c>
      <c r="U6">
        <f t="shared" si="4"/>
        <v>30.366666666666664</v>
      </c>
      <c r="V6">
        <f t="shared" si="4"/>
        <v>35.275000000000006</v>
      </c>
      <c r="W6">
        <f t="shared" si="4"/>
        <v>40.01</v>
      </c>
      <c r="X6">
        <f t="shared" si="4"/>
        <v>42.55</v>
      </c>
      <c r="Y6">
        <f t="shared" si="4"/>
        <v>44.055</v>
      </c>
      <c r="AA6" t="s">
        <v>10</v>
      </c>
      <c r="AB6">
        <f t="shared" si="3"/>
        <v>19.376666666666665</v>
      </c>
      <c r="AC6">
        <f t="shared" si="1"/>
        <v>32.066666666666663</v>
      </c>
      <c r="AD6">
        <f t="shared" si="1"/>
        <v>35.558333333333337</v>
      </c>
      <c r="AE6">
        <f t="shared" si="1"/>
        <v>34.950000000000003</v>
      </c>
      <c r="AF6">
        <f t="shared" si="1"/>
        <v>35.319999999999993</v>
      </c>
      <c r="AG6">
        <f t="shared" si="1"/>
        <v>36.36666666666666</v>
      </c>
      <c r="AH6">
        <f t="shared" si="1"/>
        <v>41.275000000000006</v>
      </c>
      <c r="AI6">
        <f t="shared" si="1"/>
        <v>46.01</v>
      </c>
      <c r="AJ6">
        <f t="shared" si="1"/>
        <v>48.55</v>
      </c>
      <c r="AK6">
        <f t="shared" si="1"/>
        <v>50.055</v>
      </c>
    </row>
    <row r="7" spans="2:37" x14ac:dyDescent="0.5">
      <c r="C7">
        <v>3.66</v>
      </c>
      <c r="D7">
        <v>14.31</v>
      </c>
      <c r="E7">
        <v>21.92</v>
      </c>
      <c r="F7">
        <v>22.48</v>
      </c>
      <c r="G7">
        <v>22.97</v>
      </c>
      <c r="H7">
        <v>18.850000000000001</v>
      </c>
      <c r="I7">
        <v>28.27</v>
      </c>
      <c r="J7">
        <v>33.549999999999997</v>
      </c>
      <c r="K7">
        <v>36.56</v>
      </c>
      <c r="L7">
        <v>38.51</v>
      </c>
      <c r="O7" t="s">
        <v>11</v>
      </c>
      <c r="P7">
        <f>C61</f>
        <v>20.322857142857142</v>
      </c>
      <c r="Q7">
        <f t="shared" ref="Q7:Y7" si="5">D61</f>
        <v>28.066666666666666</v>
      </c>
      <c r="R7">
        <f t="shared" si="5"/>
        <v>31.283333333333335</v>
      </c>
      <c r="S7">
        <f t="shared" si="5"/>
        <v>31.065000000000001</v>
      </c>
      <c r="T7">
        <f t="shared" si="5"/>
        <v>30.408333333333335</v>
      </c>
      <c r="U7">
        <f t="shared" si="5"/>
        <v>30.971666666666668</v>
      </c>
      <c r="V7">
        <f t="shared" si="5"/>
        <v>35.601666666666674</v>
      </c>
      <c r="W7">
        <f t="shared" si="5"/>
        <v>40.326666666666668</v>
      </c>
      <c r="X7">
        <f t="shared" si="5"/>
        <v>43.234999999999999</v>
      </c>
      <c r="Y7">
        <f t="shared" si="5"/>
        <v>45.543333333333337</v>
      </c>
      <c r="AA7" t="s">
        <v>11</v>
      </c>
      <c r="AB7">
        <f t="shared" si="3"/>
        <v>26.322857142857142</v>
      </c>
      <c r="AC7">
        <f t="shared" si="1"/>
        <v>34.066666666666663</v>
      </c>
      <c r="AD7">
        <f t="shared" si="1"/>
        <v>37.283333333333331</v>
      </c>
      <c r="AE7">
        <f t="shared" si="1"/>
        <v>37.064999999999998</v>
      </c>
      <c r="AF7">
        <f t="shared" si="1"/>
        <v>36.408333333333331</v>
      </c>
      <c r="AG7">
        <f t="shared" si="1"/>
        <v>36.971666666666664</v>
      </c>
      <c r="AH7">
        <f t="shared" si="1"/>
        <v>41.601666666666674</v>
      </c>
      <c r="AI7">
        <f t="shared" si="1"/>
        <v>46.326666666666668</v>
      </c>
      <c r="AJ7">
        <f t="shared" si="1"/>
        <v>49.234999999999999</v>
      </c>
      <c r="AK7">
        <f t="shared" si="1"/>
        <v>51.543333333333337</v>
      </c>
    </row>
    <row r="8" spans="2:37" x14ac:dyDescent="0.5">
      <c r="C8">
        <v>3.87</v>
      </c>
      <c r="D8">
        <v>13.87</v>
      </c>
      <c r="E8">
        <v>21.89</v>
      </c>
      <c r="F8">
        <v>22.37</v>
      </c>
      <c r="G8">
        <v>23.48</v>
      </c>
      <c r="H8">
        <v>19.440000000000001</v>
      </c>
      <c r="I8">
        <v>28.09</v>
      </c>
      <c r="J8">
        <v>33.51</v>
      </c>
      <c r="K8">
        <v>36.130000000000003</v>
      </c>
      <c r="L8">
        <v>38.409999999999997</v>
      </c>
      <c r="O8" t="s">
        <v>12</v>
      </c>
      <c r="P8">
        <f>C76</f>
        <v>21.146666666666665</v>
      </c>
      <c r="Q8">
        <f t="shared" ref="Q8:Y8" si="6">D76</f>
        <v>28.2</v>
      </c>
      <c r="R8">
        <f t="shared" si="6"/>
        <v>31.934999999999992</v>
      </c>
      <c r="S8">
        <f t="shared" si="6"/>
        <v>31.776666666666667</v>
      </c>
      <c r="T8">
        <f t="shared" si="6"/>
        <v>30.783333333333331</v>
      </c>
      <c r="U8">
        <f t="shared" si="6"/>
        <v>31.101666666666663</v>
      </c>
      <c r="V8">
        <f t="shared" si="6"/>
        <v>35.944999999999993</v>
      </c>
      <c r="W8">
        <f t="shared" si="6"/>
        <v>41.466666666666669</v>
      </c>
      <c r="X8">
        <f t="shared" si="6"/>
        <v>45.028333333333329</v>
      </c>
      <c r="Y8">
        <f t="shared" si="6"/>
        <v>46.46</v>
      </c>
      <c r="AA8" t="s">
        <v>12</v>
      </c>
      <c r="AB8">
        <f t="shared" si="3"/>
        <v>27.146666666666665</v>
      </c>
      <c r="AC8">
        <f t="shared" si="1"/>
        <v>34.200000000000003</v>
      </c>
      <c r="AD8">
        <f t="shared" si="1"/>
        <v>37.934999999999988</v>
      </c>
      <c r="AE8">
        <f t="shared" si="1"/>
        <v>37.776666666666671</v>
      </c>
      <c r="AF8">
        <f t="shared" si="1"/>
        <v>36.783333333333331</v>
      </c>
      <c r="AG8">
        <f t="shared" si="1"/>
        <v>37.101666666666659</v>
      </c>
      <c r="AH8">
        <f t="shared" si="1"/>
        <v>41.944999999999993</v>
      </c>
      <c r="AI8">
        <f t="shared" si="1"/>
        <v>47.466666666666669</v>
      </c>
      <c r="AJ8">
        <f t="shared" si="1"/>
        <v>51.028333333333329</v>
      </c>
      <c r="AK8">
        <f t="shared" si="1"/>
        <v>52.46</v>
      </c>
    </row>
    <row r="9" spans="2:37" x14ac:dyDescent="0.5">
      <c r="C9">
        <v>4.0999999999999996</v>
      </c>
      <c r="D9">
        <v>14.12</v>
      </c>
      <c r="E9">
        <v>21.59</v>
      </c>
      <c r="F9">
        <v>22.12</v>
      </c>
      <c r="G9">
        <v>23.19</v>
      </c>
      <c r="H9">
        <v>19.260000000000002</v>
      </c>
      <c r="I9">
        <v>28.79</v>
      </c>
      <c r="J9">
        <v>33.6</v>
      </c>
      <c r="K9">
        <v>36.36</v>
      </c>
      <c r="L9">
        <v>38.619999999999997</v>
      </c>
    </row>
    <row r="10" spans="2:37" x14ac:dyDescent="0.5">
      <c r="C10">
        <v>3.87</v>
      </c>
      <c r="D10">
        <v>14.57</v>
      </c>
      <c r="E10">
        <v>21.84</v>
      </c>
      <c r="F10">
        <v>21.59</v>
      </c>
      <c r="H10">
        <v>18.940000000000001</v>
      </c>
      <c r="I10">
        <v>28.82</v>
      </c>
      <c r="J10">
        <v>33.9</v>
      </c>
      <c r="K10">
        <v>35.86</v>
      </c>
      <c r="L10">
        <v>37.700000000000003</v>
      </c>
    </row>
    <row r="11" spans="2:37" x14ac:dyDescent="0.5">
      <c r="E11">
        <v>21.66</v>
      </c>
      <c r="P11">
        <v>73</v>
      </c>
      <c r="Q11">
        <v>120</v>
      </c>
      <c r="R11">
        <v>164</v>
      </c>
      <c r="S11">
        <v>256</v>
      </c>
      <c r="T11">
        <v>353</v>
      </c>
      <c r="U11">
        <v>427</v>
      </c>
      <c r="V11">
        <v>522</v>
      </c>
      <c r="W11">
        <v>586</v>
      </c>
      <c r="X11">
        <v>638</v>
      </c>
      <c r="Y11">
        <v>705</v>
      </c>
    </row>
    <row r="12" spans="2:37" x14ac:dyDescent="0.5">
      <c r="O12" t="s">
        <v>8</v>
      </c>
      <c r="P12">
        <f>P4-$P$4</f>
        <v>0</v>
      </c>
      <c r="Q12">
        <f>Q4-$Q$4</f>
        <v>0</v>
      </c>
      <c r="R12">
        <f>R4-$R$4</f>
        <v>0</v>
      </c>
      <c r="S12">
        <f>S4-$S$4</f>
        <v>0</v>
      </c>
      <c r="T12">
        <f>T4-$T$4</f>
        <v>0</v>
      </c>
      <c r="U12">
        <f>U4-$U$4</f>
        <v>0</v>
      </c>
      <c r="V12">
        <f>V4-$V$4</f>
        <v>0</v>
      </c>
      <c r="W12">
        <f>W4-$W$4</f>
        <v>0</v>
      </c>
      <c r="X12">
        <f>X4-$X$4</f>
        <v>0</v>
      </c>
      <c r="Y12">
        <f>Y4-$Y$4</f>
        <v>0</v>
      </c>
    </row>
    <row r="13" spans="2:37" x14ac:dyDescent="0.5">
      <c r="C13">
        <f>AVERAGE(C5:C10)</f>
        <v>3.7666666666666662</v>
      </c>
      <c r="D13">
        <f>AVERAGE(D5:D10)</f>
        <v>14.151666666666666</v>
      </c>
      <c r="E13">
        <f>AVERAGE(E5:E11)</f>
        <v>21.705714285714286</v>
      </c>
      <c r="F13">
        <f t="shared" ref="F13:J13" si="7">AVERAGE(F5:F10)</f>
        <v>22.258333333333336</v>
      </c>
      <c r="G13">
        <f t="shared" si="7"/>
        <v>23.161999999999999</v>
      </c>
      <c r="H13">
        <f t="shared" si="7"/>
        <v>19.276666666666667</v>
      </c>
      <c r="I13">
        <f t="shared" si="7"/>
        <v>28.643333333333331</v>
      </c>
      <c r="J13">
        <f t="shared" si="7"/>
        <v>33.594999999999999</v>
      </c>
      <c r="K13">
        <f>AVERAGE(K5:K10)</f>
        <v>36.341666666666669</v>
      </c>
      <c r="L13">
        <f>AVERAGE(L5:L10)</f>
        <v>38.448333333333331</v>
      </c>
      <c r="O13" t="s">
        <v>9</v>
      </c>
      <c r="P13">
        <f t="shared" ref="P13:P16" si="8">P5-$P$4</f>
        <v>3.0450000000000013</v>
      </c>
      <c r="Q13">
        <f t="shared" ref="Q13:Q16" si="9">Q5-$Q$4</f>
        <v>3.67</v>
      </c>
      <c r="R13">
        <f t="shared" ref="R13:R16" si="10">R5-$R$4</f>
        <v>2.4109523809523772</v>
      </c>
      <c r="S13">
        <f t="shared" ref="S13:S16" si="11">S5-$S$4</f>
        <v>1.8633333333333297</v>
      </c>
      <c r="T13">
        <f t="shared" ref="T13:T16" si="12">T5-$T$4</f>
        <v>1.4980000000000011</v>
      </c>
      <c r="U13">
        <f t="shared" ref="U13:U16" si="13">U5-$U$4</f>
        <v>0.62666666666666515</v>
      </c>
      <c r="V13">
        <f t="shared" ref="V13:V16" si="14">V5-$V$4</f>
        <v>1.3333333333335418E-2</v>
      </c>
      <c r="W13">
        <f t="shared" ref="W13:W16" si="15">W5-$W$4</f>
        <v>0.42833333333333456</v>
      </c>
      <c r="X13">
        <f t="shared" ref="X13:X16" si="16">X5-$X$4</f>
        <v>1.3233333333333306</v>
      </c>
      <c r="Y13">
        <f t="shared" ref="Y13:Y16" si="17">Y5-$Y$4</f>
        <v>0.49023809523809803</v>
      </c>
    </row>
    <row r="14" spans="2:37" x14ac:dyDescent="0.5">
      <c r="C14">
        <f>C13</f>
        <v>3.7666666666666662</v>
      </c>
      <c r="D14">
        <f t="shared" ref="D14:G14" si="18">D13</f>
        <v>14.151666666666666</v>
      </c>
      <c r="E14">
        <f t="shared" si="18"/>
        <v>21.705714285714286</v>
      </c>
      <c r="F14">
        <f t="shared" si="18"/>
        <v>22.258333333333336</v>
      </c>
      <c r="G14">
        <f t="shared" si="18"/>
        <v>23.161999999999999</v>
      </c>
      <c r="H14">
        <f>H13+8</f>
        <v>27.276666666666667</v>
      </c>
      <c r="I14">
        <f t="shared" ref="I14:L14" si="19">I13+8</f>
        <v>36.643333333333331</v>
      </c>
      <c r="J14">
        <f t="shared" si="19"/>
        <v>41.594999999999999</v>
      </c>
      <c r="K14">
        <f t="shared" si="19"/>
        <v>44.341666666666669</v>
      </c>
      <c r="L14">
        <f t="shared" si="19"/>
        <v>46.448333333333331</v>
      </c>
      <c r="O14" t="s">
        <v>10</v>
      </c>
      <c r="P14">
        <f t="shared" si="8"/>
        <v>9.6100000000000012</v>
      </c>
      <c r="Q14">
        <f t="shared" si="9"/>
        <v>11.914999999999997</v>
      </c>
      <c r="R14">
        <f t="shared" si="10"/>
        <v>7.8526190476190472</v>
      </c>
      <c r="S14">
        <f t="shared" si="11"/>
        <v>6.6916666666666629</v>
      </c>
      <c r="T14">
        <f t="shared" si="12"/>
        <v>6.1579999999999977</v>
      </c>
      <c r="U14">
        <f t="shared" si="13"/>
        <v>3.0899999999999963</v>
      </c>
      <c r="V14">
        <f t="shared" si="14"/>
        <v>-1.3683333333333252</v>
      </c>
      <c r="W14">
        <f t="shared" si="15"/>
        <v>-1.5850000000000009</v>
      </c>
      <c r="X14">
        <f t="shared" si="16"/>
        <v>-1.7916666666666714</v>
      </c>
      <c r="Y14">
        <f t="shared" si="17"/>
        <v>-2.3933333333333309</v>
      </c>
    </row>
    <row r="15" spans="2:37" x14ac:dyDescent="0.5">
      <c r="C15">
        <f>_xlfn.STDEV.P(C5:C11)</f>
        <v>0.46610680702555513</v>
      </c>
      <c r="D15">
        <f t="shared" ref="D15:E15" si="20">_xlfn.STDEV.P(D5:D11)</f>
        <v>0.25660713595343049</v>
      </c>
      <c r="E15">
        <f t="shared" si="20"/>
        <v>0.22012056065822236</v>
      </c>
      <c r="F15">
        <f t="shared" ref="F15:L15" si="21">_xlfn.STDEV.P(F5:F11)</f>
        <v>0.35352589092675474</v>
      </c>
      <c r="G15">
        <f t="shared" si="21"/>
        <v>0.31996249780247737</v>
      </c>
      <c r="H15">
        <f t="shared" si="21"/>
        <v>0.34422215049134813</v>
      </c>
      <c r="I15">
        <f t="shared" si="21"/>
        <v>0.38269512089332408</v>
      </c>
      <c r="J15">
        <f t="shared" si="21"/>
        <v>0.15798206649279259</v>
      </c>
      <c r="K15">
        <f t="shared" si="21"/>
        <v>0.49914649374930087</v>
      </c>
      <c r="L15">
        <f t="shared" si="21"/>
        <v>0.46531052952720486</v>
      </c>
      <c r="O15" t="s">
        <v>11</v>
      </c>
      <c r="P15">
        <f t="shared" si="8"/>
        <v>16.556190476190476</v>
      </c>
      <c r="Q15">
        <f t="shared" si="9"/>
        <v>13.915000000000001</v>
      </c>
      <c r="R15">
        <f t="shared" si="10"/>
        <v>9.5776190476190486</v>
      </c>
      <c r="S15">
        <f t="shared" si="11"/>
        <v>8.8066666666666649</v>
      </c>
      <c r="T15">
        <f t="shared" si="12"/>
        <v>7.246333333333336</v>
      </c>
      <c r="U15">
        <f t="shared" si="13"/>
        <v>3.6950000000000003</v>
      </c>
      <c r="V15">
        <f t="shared" si="14"/>
        <v>-1.0416666666666572</v>
      </c>
      <c r="W15">
        <f t="shared" si="15"/>
        <v>-1.2683333333333309</v>
      </c>
      <c r="X15">
        <f t="shared" si="16"/>
        <v>-1.1066666666666691</v>
      </c>
      <c r="Y15">
        <f t="shared" si="17"/>
        <v>-0.90499999999999403</v>
      </c>
    </row>
    <row r="16" spans="2:37" x14ac:dyDescent="0.5">
      <c r="O16" t="s">
        <v>12</v>
      </c>
      <c r="P16">
        <f t="shared" si="8"/>
        <v>17.38</v>
      </c>
      <c r="Q16">
        <f t="shared" si="9"/>
        <v>14.048333333333334</v>
      </c>
      <c r="R16">
        <f t="shared" si="10"/>
        <v>10.229285714285705</v>
      </c>
      <c r="S16">
        <f t="shared" si="11"/>
        <v>9.5183333333333309</v>
      </c>
      <c r="T16">
        <f t="shared" si="12"/>
        <v>7.6213333333333324</v>
      </c>
      <c r="U16">
        <f t="shared" si="13"/>
        <v>3.8249999999999957</v>
      </c>
      <c r="V16">
        <f t="shared" si="14"/>
        <v>-0.69833333333333769</v>
      </c>
      <c r="W16">
        <f t="shared" si="15"/>
        <v>-0.1283333333333303</v>
      </c>
      <c r="X16">
        <f t="shared" si="16"/>
        <v>0.68666666666666032</v>
      </c>
      <c r="Y16">
        <f t="shared" si="17"/>
        <v>1.1666666666670267E-2</v>
      </c>
    </row>
    <row r="17" spans="2:15" x14ac:dyDescent="0.5">
      <c r="B17" s="5" t="s">
        <v>4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5" x14ac:dyDescent="0.5">
      <c r="B18" t="s">
        <v>1</v>
      </c>
      <c r="C18">
        <v>74</v>
      </c>
      <c r="D18">
        <v>69</v>
      </c>
      <c r="E18">
        <v>62</v>
      </c>
      <c r="F18">
        <v>57</v>
      </c>
      <c r="G18">
        <v>53</v>
      </c>
      <c r="H18">
        <v>50</v>
      </c>
      <c r="I18">
        <v>47</v>
      </c>
      <c r="J18">
        <v>45</v>
      </c>
      <c r="K18">
        <v>43</v>
      </c>
      <c r="L18">
        <v>41</v>
      </c>
    </row>
    <row r="19" spans="2:15" x14ac:dyDescent="0.5">
      <c r="B19" t="s">
        <v>2</v>
      </c>
      <c r="C19">
        <v>73</v>
      </c>
      <c r="D19">
        <v>120</v>
      </c>
      <c r="E19">
        <v>164</v>
      </c>
      <c r="F19">
        <v>256</v>
      </c>
      <c r="G19">
        <v>353</v>
      </c>
      <c r="H19">
        <v>427</v>
      </c>
      <c r="I19">
        <v>522</v>
      </c>
      <c r="J19">
        <v>586</v>
      </c>
      <c r="K19">
        <v>638</v>
      </c>
      <c r="L19">
        <v>705</v>
      </c>
    </row>
    <row r="20" spans="2:15" x14ac:dyDescent="0.5">
      <c r="B20" t="s">
        <v>3</v>
      </c>
      <c r="C20">
        <v>3</v>
      </c>
      <c r="D20">
        <v>4</v>
      </c>
      <c r="E20">
        <v>6</v>
      </c>
      <c r="F20">
        <v>8</v>
      </c>
      <c r="G20">
        <v>10</v>
      </c>
      <c r="H20">
        <v>12</v>
      </c>
      <c r="I20">
        <v>14</v>
      </c>
      <c r="J20">
        <v>16</v>
      </c>
      <c r="K20">
        <v>18</v>
      </c>
      <c r="L20">
        <v>20</v>
      </c>
      <c r="O20">
        <v>0</v>
      </c>
    </row>
    <row r="21" spans="2:15" x14ac:dyDescent="0.5">
      <c r="C21">
        <v>7.63</v>
      </c>
      <c r="D21">
        <v>17.73</v>
      </c>
      <c r="E21">
        <v>24.04</v>
      </c>
      <c r="F21">
        <v>23.86</v>
      </c>
      <c r="G21">
        <v>25.14</v>
      </c>
      <c r="H21">
        <v>19.989999999999998</v>
      </c>
      <c r="I21">
        <v>28.98</v>
      </c>
      <c r="J21">
        <v>34.61</v>
      </c>
      <c r="K21">
        <v>38.21</v>
      </c>
      <c r="L21">
        <v>39.61</v>
      </c>
      <c r="O21">
        <v>20</v>
      </c>
    </row>
    <row r="22" spans="2:15" x14ac:dyDescent="0.5">
      <c r="C22">
        <v>5.89</v>
      </c>
      <c r="D22">
        <v>17.54</v>
      </c>
      <c r="E22">
        <v>23.81</v>
      </c>
      <c r="F22">
        <v>24.2</v>
      </c>
      <c r="G22">
        <v>24.86</v>
      </c>
      <c r="H22">
        <v>20.46</v>
      </c>
      <c r="I22">
        <v>28.82</v>
      </c>
      <c r="J22">
        <v>33.5</v>
      </c>
      <c r="K22">
        <v>37.68</v>
      </c>
      <c r="L22">
        <v>39.29</v>
      </c>
      <c r="O22">
        <v>40</v>
      </c>
    </row>
    <row r="23" spans="2:15" x14ac:dyDescent="0.5">
      <c r="C23">
        <v>6.75</v>
      </c>
      <c r="D23">
        <v>17.89</v>
      </c>
      <c r="E23">
        <v>24.43</v>
      </c>
      <c r="F23">
        <v>24.27</v>
      </c>
      <c r="G23">
        <v>24.51</v>
      </c>
      <c r="H23">
        <v>20.11</v>
      </c>
      <c r="I23">
        <v>28.43</v>
      </c>
      <c r="J23">
        <v>34.06</v>
      </c>
      <c r="K23">
        <v>37.85</v>
      </c>
      <c r="L23">
        <v>39.19</v>
      </c>
      <c r="O23">
        <v>60</v>
      </c>
    </row>
    <row r="24" spans="2:15" x14ac:dyDescent="0.5">
      <c r="C24">
        <v>7</v>
      </c>
      <c r="D24">
        <v>17.8</v>
      </c>
      <c r="E24">
        <v>24.28</v>
      </c>
      <c r="F24">
        <v>24.13</v>
      </c>
      <c r="G24">
        <v>24.14</v>
      </c>
      <c r="H24">
        <v>19.68</v>
      </c>
      <c r="I24">
        <v>28.52</v>
      </c>
      <c r="J24">
        <v>33.79</v>
      </c>
      <c r="K24">
        <v>38.200000000000003</v>
      </c>
      <c r="L24">
        <v>38.72</v>
      </c>
      <c r="O24">
        <v>80</v>
      </c>
    </row>
    <row r="25" spans="2:15" x14ac:dyDescent="0.5">
      <c r="C25">
        <v>6.57</v>
      </c>
      <c r="D25">
        <v>17.579999999999998</v>
      </c>
      <c r="E25">
        <v>23.66</v>
      </c>
      <c r="F25">
        <v>24.15</v>
      </c>
      <c r="G25">
        <v>24.56</v>
      </c>
      <c r="H25">
        <v>19.91</v>
      </c>
      <c r="I25">
        <v>27.88</v>
      </c>
      <c r="J25">
        <v>33.93</v>
      </c>
      <c r="K25">
        <v>36.979999999999997</v>
      </c>
      <c r="L25">
        <v>38.79</v>
      </c>
    </row>
    <row r="26" spans="2:15" x14ac:dyDescent="0.5">
      <c r="C26">
        <v>7.03</v>
      </c>
      <c r="D26">
        <v>18.39</v>
      </c>
      <c r="E26">
        <v>24.48</v>
      </c>
      <c r="F26">
        <v>24.12</v>
      </c>
      <c r="G26">
        <v>24.75</v>
      </c>
      <c r="H26">
        <v>19.27</v>
      </c>
      <c r="I26">
        <v>29.31</v>
      </c>
      <c r="J26">
        <v>34.25</v>
      </c>
      <c r="K26">
        <v>37.07</v>
      </c>
      <c r="L26">
        <v>38.409999999999997</v>
      </c>
    </row>
    <row r="27" spans="2:15" x14ac:dyDescent="0.5">
      <c r="L27">
        <v>38.56</v>
      </c>
    </row>
    <row r="29" spans="2:15" x14ac:dyDescent="0.5">
      <c r="C29">
        <f t="shared" ref="C29:K29" si="22">AVERAGE(C21:C27)</f>
        <v>6.8116666666666674</v>
      </c>
      <c r="D29">
        <f t="shared" si="22"/>
        <v>17.821666666666665</v>
      </c>
      <c r="E29">
        <f t="shared" si="22"/>
        <v>24.116666666666664</v>
      </c>
      <c r="F29">
        <f t="shared" si="22"/>
        <v>24.121666666666666</v>
      </c>
      <c r="G29">
        <f t="shared" si="22"/>
        <v>24.66</v>
      </c>
      <c r="H29">
        <f t="shared" si="22"/>
        <v>19.903333333333332</v>
      </c>
      <c r="I29">
        <f t="shared" si="22"/>
        <v>28.656666666666666</v>
      </c>
      <c r="J29">
        <f t="shared" si="22"/>
        <v>34.023333333333333</v>
      </c>
      <c r="K29">
        <f t="shared" si="22"/>
        <v>37.664999999999999</v>
      </c>
      <c r="L29">
        <f>AVERAGE(L21:L27)</f>
        <v>38.938571428571429</v>
      </c>
    </row>
    <row r="30" spans="2:15" x14ac:dyDescent="0.5">
      <c r="C30">
        <f>C29</f>
        <v>6.8116666666666674</v>
      </c>
      <c r="D30">
        <f t="shared" ref="D30:G30" si="23">D29</f>
        <v>17.821666666666665</v>
      </c>
      <c r="E30">
        <f t="shared" si="23"/>
        <v>24.116666666666664</v>
      </c>
      <c r="F30">
        <f t="shared" si="23"/>
        <v>24.121666666666666</v>
      </c>
      <c r="G30">
        <f t="shared" si="23"/>
        <v>24.66</v>
      </c>
      <c r="H30">
        <f>H29+8</f>
        <v>27.903333333333332</v>
      </c>
      <c r="I30">
        <f t="shared" ref="I30:L30" si="24">I29+8</f>
        <v>36.656666666666666</v>
      </c>
      <c r="J30">
        <f t="shared" si="24"/>
        <v>42.023333333333333</v>
      </c>
      <c r="K30">
        <f t="shared" si="24"/>
        <v>45.664999999999999</v>
      </c>
      <c r="L30">
        <f t="shared" si="24"/>
        <v>46.938571428571429</v>
      </c>
    </row>
    <row r="31" spans="2:15" x14ac:dyDescent="0.5">
      <c r="C31">
        <f t="shared" ref="C31:K31" si="25">_xlfn.STDEV.P(C21:C27)</f>
        <v>0.52670094825136682</v>
      </c>
      <c r="D31">
        <f t="shared" si="25"/>
        <v>0.28115337846489152</v>
      </c>
      <c r="E31">
        <f t="shared" si="25"/>
        <v>0.30695638488590271</v>
      </c>
      <c r="F31">
        <f t="shared" si="25"/>
        <v>0.12746459203332591</v>
      </c>
      <c r="G31">
        <f t="shared" si="25"/>
        <v>0.31128764832546746</v>
      </c>
      <c r="H31">
        <f t="shared" si="25"/>
        <v>0.36768041678730878</v>
      </c>
      <c r="I31">
        <f t="shared" si="25"/>
        <v>0.45301459382918591</v>
      </c>
      <c r="J31">
        <f t="shared" si="25"/>
        <v>0.34974593953643296</v>
      </c>
      <c r="K31">
        <f t="shared" si="25"/>
        <v>0.49005952019457261</v>
      </c>
      <c r="L31">
        <f>_xlfn.STDEV.P(L21:L27)</f>
        <v>0.40179698396893254</v>
      </c>
    </row>
    <row r="33" spans="2:12" x14ac:dyDescent="0.5">
      <c r="B33" s="5" t="s">
        <v>5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x14ac:dyDescent="0.5">
      <c r="B34" t="s">
        <v>1</v>
      </c>
      <c r="C34">
        <v>74</v>
      </c>
      <c r="D34">
        <v>69</v>
      </c>
      <c r="E34">
        <v>62</v>
      </c>
      <c r="F34">
        <v>57</v>
      </c>
      <c r="G34">
        <v>53</v>
      </c>
      <c r="H34">
        <v>50</v>
      </c>
      <c r="I34">
        <v>47</v>
      </c>
      <c r="J34">
        <v>45</v>
      </c>
      <c r="K34">
        <v>43</v>
      </c>
      <c r="L34">
        <v>41</v>
      </c>
    </row>
    <row r="35" spans="2:12" x14ac:dyDescent="0.5">
      <c r="B35" t="s">
        <v>2</v>
      </c>
      <c r="C35">
        <v>73</v>
      </c>
      <c r="D35">
        <v>120</v>
      </c>
      <c r="E35">
        <v>164</v>
      </c>
      <c r="F35">
        <v>256</v>
      </c>
      <c r="G35">
        <v>353</v>
      </c>
      <c r="H35">
        <v>427</v>
      </c>
      <c r="I35">
        <v>522</v>
      </c>
      <c r="J35">
        <v>586</v>
      </c>
      <c r="K35">
        <v>638</v>
      </c>
      <c r="L35">
        <v>705</v>
      </c>
    </row>
    <row r="36" spans="2:12" x14ac:dyDescent="0.5">
      <c r="B36" t="s">
        <v>3</v>
      </c>
      <c r="C36">
        <v>3</v>
      </c>
      <c r="D36">
        <v>4</v>
      </c>
      <c r="E36">
        <v>6</v>
      </c>
      <c r="F36">
        <v>8</v>
      </c>
      <c r="G36">
        <v>10</v>
      </c>
      <c r="H36">
        <v>12</v>
      </c>
      <c r="I36">
        <v>14</v>
      </c>
      <c r="J36">
        <v>16</v>
      </c>
      <c r="K36">
        <v>18</v>
      </c>
      <c r="L36">
        <v>20</v>
      </c>
    </row>
    <row r="37" spans="2:12" x14ac:dyDescent="0.5">
      <c r="C37">
        <v>13.55</v>
      </c>
      <c r="D37">
        <v>26.07</v>
      </c>
      <c r="E37">
        <v>29.77</v>
      </c>
      <c r="F37">
        <v>29.12</v>
      </c>
      <c r="G37">
        <v>29.45</v>
      </c>
      <c r="H37">
        <v>22.65</v>
      </c>
      <c r="I37">
        <v>27.89</v>
      </c>
      <c r="J37">
        <v>32.49</v>
      </c>
      <c r="K37">
        <v>35.340000000000003</v>
      </c>
      <c r="L37">
        <v>37.08</v>
      </c>
    </row>
    <row r="38" spans="2:12" x14ac:dyDescent="0.5">
      <c r="C38">
        <v>12.36</v>
      </c>
      <c r="D38">
        <v>25.67</v>
      </c>
      <c r="E38">
        <v>29.5</v>
      </c>
      <c r="F38">
        <v>28.89</v>
      </c>
      <c r="G38">
        <v>29.53</v>
      </c>
      <c r="H38">
        <v>22.49</v>
      </c>
      <c r="I38">
        <v>27.4</v>
      </c>
      <c r="J38">
        <v>31.48</v>
      </c>
      <c r="K38">
        <v>34.58</v>
      </c>
      <c r="L38">
        <v>35.58</v>
      </c>
    </row>
    <row r="39" spans="2:12" x14ac:dyDescent="0.5">
      <c r="C39">
        <v>13.79</v>
      </c>
      <c r="D39">
        <v>25.69</v>
      </c>
      <c r="E39">
        <v>29.42</v>
      </c>
      <c r="F39">
        <v>28.67</v>
      </c>
      <c r="G39">
        <v>29.03</v>
      </c>
      <c r="H39">
        <v>21.9</v>
      </c>
      <c r="I39">
        <v>27.18</v>
      </c>
      <c r="J39">
        <v>32.17</v>
      </c>
      <c r="K39">
        <v>34.159999999999997</v>
      </c>
      <c r="L39">
        <v>35.75</v>
      </c>
    </row>
    <row r="40" spans="2:12" x14ac:dyDescent="0.5">
      <c r="C40">
        <v>13.67</v>
      </c>
      <c r="D40">
        <v>26.61</v>
      </c>
      <c r="E40">
        <v>29.46</v>
      </c>
      <c r="F40">
        <v>28.84</v>
      </c>
      <c r="G40">
        <v>29.15</v>
      </c>
      <c r="H40">
        <v>22.64</v>
      </c>
      <c r="I40">
        <v>27.22</v>
      </c>
      <c r="J40">
        <v>31.49</v>
      </c>
      <c r="K40">
        <v>33.869999999999997</v>
      </c>
      <c r="L40">
        <v>35.799999999999997</v>
      </c>
    </row>
    <row r="41" spans="2:12" x14ac:dyDescent="0.5">
      <c r="C41">
        <v>13.62</v>
      </c>
      <c r="D41">
        <v>26.03</v>
      </c>
      <c r="E41">
        <v>29.57</v>
      </c>
      <c r="F41">
        <v>29.2</v>
      </c>
      <c r="G41">
        <v>29.25</v>
      </c>
      <c r="H41">
        <v>22.2</v>
      </c>
      <c r="I41">
        <v>26.69</v>
      </c>
      <c r="J41">
        <v>32.520000000000003</v>
      </c>
      <c r="K41">
        <v>34.75</v>
      </c>
      <c r="L41">
        <v>36.6</v>
      </c>
    </row>
    <row r="42" spans="2:12" x14ac:dyDescent="0.5">
      <c r="C42">
        <v>13.27</v>
      </c>
      <c r="D42">
        <v>26.33</v>
      </c>
      <c r="E42">
        <v>29.63</v>
      </c>
      <c r="F42">
        <v>28.98</v>
      </c>
      <c r="G42">
        <v>29.51</v>
      </c>
      <c r="H42">
        <v>22.32</v>
      </c>
      <c r="I42">
        <v>27.27</v>
      </c>
      <c r="J42">
        <v>31.91</v>
      </c>
      <c r="K42">
        <v>34.6</v>
      </c>
      <c r="L42">
        <v>35.520000000000003</v>
      </c>
    </row>
    <row r="44" spans="2:12" x14ac:dyDescent="0.5">
      <c r="C44">
        <f t="shared" ref="C44:L44" si="26">AVERAGE(C37:C42)</f>
        <v>13.376666666666667</v>
      </c>
      <c r="D44">
        <f t="shared" si="26"/>
        <v>26.066666666666663</v>
      </c>
      <c r="E44">
        <f t="shared" si="26"/>
        <v>29.558333333333334</v>
      </c>
      <c r="F44">
        <f t="shared" si="26"/>
        <v>28.95</v>
      </c>
      <c r="G44">
        <f t="shared" si="26"/>
        <v>29.319999999999997</v>
      </c>
      <c r="H44">
        <f t="shared" si="26"/>
        <v>22.366666666666664</v>
      </c>
      <c r="I44">
        <f t="shared" si="26"/>
        <v>27.275000000000002</v>
      </c>
      <c r="J44">
        <f t="shared" si="26"/>
        <v>32.01</v>
      </c>
      <c r="K44">
        <f t="shared" si="26"/>
        <v>34.549999999999997</v>
      </c>
      <c r="L44">
        <f t="shared" si="26"/>
        <v>36.055</v>
      </c>
    </row>
    <row r="45" spans="2:12" x14ac:dyDescent="0.5">
      <c r="C45">
        <f>C44</f>
        <v>13.376666666666667</v>
      </c>
      <c r="D45">
        <f t="shared" ref="D45:G45" si="27">D44</f>
        <v>26.066666666666663</v>
      </c>
      <c r="E45">
        <f t="shared" si="27"/>
        <v>29.558333333333334</v>
      </c>
      <c r="F45">
        <f t="shared" si="27"/>
        <v>28.95</v>
      </c>
      <c r="G45">
        <f t="shared" si="27"/>
        <v>29.319999999999997</v>
      </c>
      <c r="H45">
        <f>H44+8</f>
        <v>30.366666666666664</v>
      </c>
      <c r="I45">
        <f t="shared" ref="I45:L45" si="28">I44+8</f>
        <v>35.275000000000006</v>
      </c>
      <c r="J45">
        <f t="shared" si="28"/>
        <v>40.01</v>
      </c>
      <c r="K45">
        <f t="shared" si="28"/>
        <v>42.55</v>
      </c>
      <c r="L45">
        <f t="shared" si="28"/>
        <v>44.055</v>
      </c>
    </row>
    <row r="46" spans="2:12" x14ac:dyDescent="0.5">
      <c r="C46">
        <f t="shared" ref="C46:L46" si="29">_xlfn.STDEV.P(C37:C42)</f>
        <v>0.48151381657804543</v>
      </c>
      <c r="D46">
        <f t="shared" si="29"/>
        <v>0.33294977932948822</v>
      </c>
      <c r="E46">
        <f t="shared" si="29"/>
        <v>0.11710631447060714</v>
      </c>
      <c r="F46">
        <f t="shared" si="29"/>
        <v>0.17625738755203002</v>
      </c>
      <c r="G46">
        <f t="shared" si="29"/>
        <v>0.18929694486000942</v>
      </c>
      <c r="H46">
        <f t="shared" si="29"/>
        <v>0.26392338955756778</v>
      </c>
      <c r="I46">
        <f t="shared" si="29"/>
        <v>0.35311707218239469</v>
      </c>
      <c r="J46">
        <f t="shared" si="29"/>
        <v>0.42375307275188906</v>
      </c>
      <c r="K46">
        <f t="shared" si="29"/>
        <v>0.46224091842530407</v>
      </c>
      <c r="L46">
        <f t="shared" si="29"/>
        <v>0.5798778607028664</v>
      </c>
    </row>
    <row r="48" spans="2:12" x14ac:dyDescent="0.5">
      <c r="B48" s="5" t="s">
        <v>6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12" x14ac:dyDescent="0.5">
      <c r="B49" t="s">
        <v>1</v>
      </c>
      <c r="C49">
        <v>74</v>
      </c>
      <c r="D49">
        <v>69</v>
      </c>
      <c r="E49">
        <v>62</v>
      </c>
      <c r="F49">
        <v>57</v>
      </c>
      <c r="G49">
        <v>53</v>
      </c>
      <c r="H49">
        <v>50</v>
      </c>
      <c r="I49">
        <v>47</v>
      </c>
      <c r="J49">
        <v>45</v>
      </c>
      <c r="K49">
        <v>43</v>
      </c>
      <c r="L49">
        <v>41</v>
      </c>
    </row>
    <row r="50" spans="2:12" x14ac:dyDescent="0.5">
      <c r="B50" t="s">
        <v>2</v>
      </c>
      <c r="C50">
        <v>73</v>
      </c>
      <c r="D50">
        <v>120</v>
      </c>
      <c r="E50">
        <v>164</v>
      </c>
      <c r="F50">
        <v>256</v>
      </c>
      <c r="G50">
        <v>353</v>
      </c>
      <c r="H50">
        <v>427</v>
      </c>
      <c r="I50">
        <v>522</v>
      </c>
      <c r="J50">
        <v>586</v>
      </c>
      <c r="K50">
        <v>638</v>
      </c>
      <c r="L50">
        <v>705</v>
      </c>
    </row>
    <row r="51" spans="2:12" x14ac:dyDescent="0.5">
      <c r="B51" t="s">
        <v>3</v>
      </c>
      <c r="C51">
        <v>3</v>
      </c>
      <c r="D51">
        <v>4</v>
      </c>
      <c r="E51">
        <v>6</v>
      </c>
      <c r="F51">
        <v>8</v>
      </c>
      <c r="G51">
        <v>10</v>
      </c>
      <c r="H51">
        <v>12</v>
      </c>
      <c r="I51">
        <v>14</v>
      </c>
      <c r="J51">
        <v>16</v>
      </c>
      <c r="K51">
        <v>18</v>
      </c>
      <c r="L51">
        <v>20</v>
      </c>
    </row>
    <row r="52" spans="2:12" x14ac:dyDescent="0.5">
      <c r="C52">
        <v>20.03</v>
      </c>
      <c r="D52">
        <v>28.13</v>
      </c>
      <c r="E52">
        <v>31.44</v>
      </c>
      <c r="F52">
        <v>31.02</v>
      </c>
      <c r="G52">
        <v>30.93</v>
      </c>
      <c r="H52">
        <v>23.78</v>
      </c>
      <c r="I52">
        <v>27.57</v>
      </c>
      <c r="J52">
        <v>31.96</v>
      </c>
      <c r="K52">
        <v>35.840000000000003</v>
      </c>
      <c r="L52">
        <v>38.08</v>
      </c>
    </row>
    <row r="53" spans="2:12" x14ac:dyDescent="0.5">
      <c r="C53">
        <v>19.920000000000002</v>
      </c>
      <c r="D53">
        <v>28.29</v>
      </c>
      <c r="E53">
        <v>31.54</v>
      </c>
      <c r="F53">
        <v>30.79</v>
      </c>
      <c r="G53">
        <v>30.6</v>
      </c>
      <c r="H53">
        <v>23.47</v>
      </c>
      <c r="I53">
        <v>27.48</v>
      </c>
      <c r="J53">
        <v>32.659999999999997</v>
      </c>
      <c r="K53">
        <v>35.380000000000003</v>
      </c>
      <c r="L53">
        <v>37.770000000000003</v>
      </c>
    </row>
    <row r="54" spans="2:12" x14ac:dyDescent="0.5">
      <c r="C54">
        <v>20.48</v>
      </c>
      <c r="D54">
        <v>28.17</v>
      </c>
      <c r="E54">
        <v>30.59</v>
      </c>
      <c r="F54">
        <v>31.28</v>
      </c>
      <c r="G54">
        <v>30.46</v>
      </c>
      <c r="H54">
        <v>22.3</v>
      </c>
      <c r="I54">
        <v>28.05</v>
      </c>
      <c r="J54">
        <v>32.049999999999997</v>
      </c>
      <c r="K54">
        <v>35.36</v>
      </c>
      <c r="L54">
        <v>37.69</v>
      </c>
    </row>
    <row r="55" spans="2:12" x14ac:dyDescent="0.5">
      <c r="C55">
        <v>20.43</v>
      </c>
      <c r="D55">
        <v>28.14</v>
      </c>
      <c r="E55">
        <v>31.23</v>
      </c>
      <c r="F55">
        <v>30.83</v>
      </c>
      <c r="G55">
        <v>30.22</v>
      </c>
      <c r="H55">
        <v>22.47</v>
      </c>
      <c r="I55">
        <v>27.64</v>
      </c>
      <c r="J55">
        <v>32.35</v>
      </c>
      <c r="K55">
        <v>34.86</v>
      </c>
      <c r="L55">
        <v>37.5</v>
      </c>
    </row>
    <row r="56" spans="2:12" x14ac:dyDescent="0.5">
      <c r="C56">
        <v>20.07</v>
      </c>
      <c r="D56">
        <v>27.86</v>
      </c>
      <c r="E56">
        <v>31.42</v>
      </c>
      <c r="F56">
        <v>31.2</v>
      </c>
      <c r="G56">
        <v>30.33</v>
      </c>
      <c r="H56">
        <v>22.79</v>
      </c>
      <c r="I56">
        <v>27.85</v>
      </c>
      <c r="J56">
        <v>32.01</v>
      </c>
      <c r="K56">
        <v>34.979999999999997</v>
      </c>
      <c r="L56">
        <v>37.200000000000003</v>
      </c>
    </row>
    <row r="57" spans="2:12" x14ac:dyDescent="0.5">
      <c r="C57">
        <v>20.63</v>
      </c>
      <c r="D57">
        <v>27.81</v>
      </c>
      <c r="E57">
        <v>31.48</v>
      </c>
      <c r="F57">
        <v>31.27</v>
      </c>
      <c r="G57">
        <v>29.91</v>
      </c>
      <c r="H57">
        <v>23.02</v>
      </c>
      <c r="I57">
        <v>27.02</v>
      </c>
      <c r="J57">
        <v>32.93</v>
      </c>
      <c r="K57">
        <v>34.99</v>
      </c>
      <c r="L57">
        <v>37.020000000000003</v>
      </c>
    </row>
    <row r="58" spans="2:12" x14ac:dyDescent="0.5">
      <c r="C58">
        <v>20.7</v>
      </c>
    </row>
    <row r="60" spans="2:12" x14ac:dyDescent="0.5">
      <c r="C60">
        <f>AVERAGE(C52:C58)</f>
        <v>20.322857142857142</v>
      </c>
      <c r="D60">
        <f t="shared" ref="D60:L60" si="30">AVERAGE(D52:D58)</f>
        <v>28.066666666666666</v>
      </c>
      <c r="E60">
        <f t="shared" si="30"/>
        <v>31.283333333333335</v>
      </c>
      <c r="F60">
        <f t="shared" si="30"/>
        <v>31.065000000000001</v>
      </c>
      <c r="G60">
        <f t="shared" si="30"/>
        <v>30.408333333333335</v>
      </c>
      <c r="H60">
        <f t="shared" si="30"/>
        <v>22.971666666666668</v>
      </c>
      <c r="I60">
        <f t="shared" si="30"/>
        <v>27.60166666666667</v>
      </c>
      <c r="J60">
        <f t="shared" si="30"/>
        <v>32.326666666666668</v>
      </c>
      <c r="K60">
        <f t="shared" si="30"/>
        <v>35.234999999999999</v>
      </c>
      <c r="L60">
        <f t="shared" si="30"/>
        <v>37.543333333333337</v>
      </c>
    </row>
    <row r="61" spans="2:12" x14ac:dyDescent="0.5">
      <c r="C61">
        <f>C60</f>
        <v>20.322857142857142</v>
      </c>
      <c r="D61">
        <f t="shared" ref="D61:G61" si="31">D60</f>
        <v>28.066666666666666</v>
      </c>
      <c r="E61">
        <f t="shared" si="31"/>
        <v>31.283333333333335</v>
      </c>
      <c r="F61">
        <f t="shared" si="31"/>
        <v>31.065000000000001</v>
      </c>
      <c r="G61">
        <f t="shared" si="31"/>
        <v>30.408333333333335</v>
      </c>
      <c r="H61">
        <f>H60+8</f>
        <v>30.971666666666668</v>
      </c>
      <c r="I61">
        <f t="shared" ref="I61:L61" si="32">I60+8</f>
        <v>35.601666666666674</v>
      </c>
      <c r="J61">
        <f t="shared" si="32"/>
        <v>40.326666666666668</v>
      </c>
      <c r="K61">
        <f t="shared" si="32"/>
        <v>43.234999999999999</v>
      </c>
      <c r="L61">
        <f t="shared" si="32"/>
        <v>45.543333333333337</v>
      </c>
    </row>
    <row r="62" spans="2:12" x14ac:dyDescent="0.5">
      <c r="C62">
        <f>_xlfn.STDEV.P(C52:C58)</f>
        <v>0.28902369085863971</v>
      </c>
      <c r="D62">
        <f t="shared" ref="D62:L62" si="33">_xlfn.STDEV.P(D52:D58)</f>
        <v>0.17249798710580855</v>
      </c>
      <c r="E62">
        <f t="shared" si="33"/>
        <v>0.3243797500187432</v>
      </c>
      <c r="F62">
        <f t="shared" si="33"/>
        <v>0.19972898304118736</v>
      </c>
      <c r="G62">
        <f t="shared" si="33"/>
        <v>0.31661841737685187</v>
      </c>
      <c r="H62">
        <f t="shared" si="33"/>
        <v>0.52279430839374008</v>
      </c>
      <c r="I62">
        <f t="shared" si="33"/>
        <v>0.32100969178861644</v>
      </c>
      <c r="J62">
        <f t="shared" si="33"/>
        <v>0.36215404948109514</v>
      </c>
      <c r="K62">
        <f t="shared" si="33"/>
        <v>0.33375390135048255</v>
      </c>
      <c r="L62">
        <f t="shared" si="33"/>
        <v>0.3546202977207516</v>
      </c>
    </row>
    <row r="64" spans="2:12" x14ac:dyDescent="0.5">
      <c r="B64" s="5" t="s">
        <v>7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x14ac:dyDescent="0.5">
      <c r="B65" t="s">
        <v>1</v>
      </c>
      <c r="C65">
        <v>74</v>
      </c>
      <c r="D65">
        <v>69</v>
      </c>
      <c r="E65">
        <v>62</v>
      </c>
      <c r="F65">
        <v>57</v>
      </c>
      <c r="G65">
        <v>53</v>
      </c>
      <c r="H65">
        <v>50</v>
      </c>
      <c r="I65">
        <v>47</v>
      </c>
      <c r="J65">
        <v>45</v>
      </c>
      <c r="K65">
        <v>43</v>
      </c>
      <c r="L65">
        <v>41</v>
      </c>
    </row>
    <row r="66" spans="2:12" x14ac:dyDescent="0.5">
      <c r="B66" t="s">
        <v>2</v>
      </c>
      <c r="C66">
        <v>73</v>
      </c>
      <c r="D66">
        <v>120</v>
      </c>
      <c r="E66">
        <v>164</v>
      </c>
      <c r="F66">
        <v>256</v>
      </c>
      <c r="G66">
        <v>353</v>
      </c>
      <c r="H66">
        <v>427</v>
      </c>
      <c r="I66">
        <v>522</v>
      </c>
      <c r="J66">
        <v>586</v>
      </c>
      <c r="K66">
        <v>638</v>
      </c>
      <c r="L66">
        <v>705</v>
      </c>
    </row>
    <row r="67" spans="2:12" x14ac:dyDescent="0.5">
      <c r="B67" t="s">
        <v>3</v>
      </c>
      <c r="C67">
        <v>3</v>
      </c>
      <c r="D67">
        <v>4</v>
      </c>
      <c r="E67">
        <v>6</v>
      </c>
      <c r="F67">
        <v>8</v>
      </c>
      <c r="G67">
        <v>10</v>
      </c>
      <c r="H67">
        <v>12</v>
      </c>
      <c r="I67">
        <v>14</v>
      </c>
      <c r="J67">
        <v>16</v>
      </c>
      <c r="K67">
        <v>18</v>
      </c>
      <c r="L67">
        <v>20</v>
      </c>
    </row>
    <row r="68" spans="2:12" x14ac:dyDescent="0.5">
      <c r="C68">
        <v>21.13</v>
      </c>
      <c r="D68">
        <v>28.42</v>
      </c>
      <c r="E68">
        <v>31.77</v>
      </c>
      <c r="F68">
        <v>32.200000000000003</v>
      </c>
      <c r="G68">
        <v>31.6</v>
      </c>
      <c r="H68">
        <v>24.26</v>
      </c>
      <c r="I68">
        <v>28.18</v>
      </c>
      <c r="J68">
        <v>34.049999999999997</v>
      </c>
      <c r="K68">
        <v>37.729999999999997</v>
      </c>
      <c r="L68">
        <v>38.729999999999997</v>
      </c>
    </row>
    <row r="69" spans="2:12" x14ac:dyDescent="0.5">
      <c r="C69">
        <v>21.33</v>
      </c>
      <c r="D69">
        <v>28.02</v>
      </c>
      <c r="E69">
        <v>31.72</v>
      </c>
      <c r="F69">
        <v>31.06</v>
      </c>
      <c r="G69">
        <v>30.5</v>
      </c>
      <c r="H69">
        <v>22.79</v>
      </c>
      <c r="I69">
        <v>28.18</v>
      </c>
      <c r="J69">
        <v>33.090000000000003</v>
      </c>
      <c r="K69">
        <v>36.97</v>
      </c>
      <c r="L69">
        <v>38.130000000000003</v>
      </c>
    </row>
    <row r="70" spans="2:12" x14ac:dyDescent="0.5">
      <c r="C70">
        <v>21.04</v>
      </c>
      <c r="D70">
        <v>28.54</v>
      </c>
      <c r="E70">
        <v>32.28</v>
      </c>
      <c r="F70">
        <v>31.33</v>
      </c>
      <c r="G70">
        <v>30.4</v>
      </c>
      <c r="H70">
        <v>23</v>
      </c>
      <c r="I70">
        <v>27.88</v>
      </c>
      <c r="J70">
        <v>33.549999999999997</v>
      </c>
      <c r="K70">
        <v>36.799999999999997</v>
      </c>
      <c r="L70">
        <v>38.799999999999997</v>
      </c>
    </row>
    <row r="71" spans="2:12" x14ac:dyDescent="0.5">
      <c r="C71">
        <v>20.59</v>
      </c>
      <c r="D71">
        <v>28.02</v>
      </c>
      <c r="E71">
        <v>31.93</v>
      </c>
      <c r="F71">
        <v>32.01</v>
      </c>
      <c r="G71">
        <v>30.55</v>
      </c>
      <c r="H71">
        <v>22.96</v>
      </c>
      <c r="I71">
        <v>27.78</v>
      </c>
      <c r="J71">
        <v>33.630000000000003</v>
      </c>
      <c r="K71">
        <v>36.65</v>
      </c>
      <c r="L71">
        <v>38.56</v>
      </c>
    </row>
    <row r="72" spans="2:12" x14ac:dyDescent="0.5">
      <c r="C72">
        <v>21.54</v>
      </c>
      <c r="D72">
        <v>27.9</v>
      </c>
      <c r="E72">
        <v>31.83</v>
      </c>
      <c r="F72">
        <v>32.270000000000003</v>
      </c>
      <c r="G72">
        <v>30.89</v>
      </c>
      <c r="H72">
        <v>23.15</v>
      </c>
      <c r="I72">
        <v>27.58</v>
      </c>
      <c r="J72">
        <v>33.21</v>
      </c>
      <c r="K72">
        <v>37.43</v>
      </c>
      <c r="L72">
        <v>38.409999999999997</v>
      </c>
    </row>
    <row r="73" spans="2:12" x14ac:dyDescent="0.5">
      <c r="C73">
        <v>21.25</v>
      </c>
      <c r="D73">
        <v>28.3</v>
      </c>
      <c r="E73">
        <v>32.08</v>
      </c>
      <c r="F73">
        <v>31.79</v>
      </c>
      <c r="G73">
        <v>30.76</v>
      </c>
      <c r="H73">
        <v>22.45</v>
      </c>
      <c r="I73">
        <v>28.07</v>
      </c>
      <c r="J73">
        <v>33.270000000000003</v>
      </c>
      <c r="K73">
        <v>36.590000000000003</v>
      </c>
      <c r="L73">
        <v>38.130000000000003</v>
      </c>
    </row>
    <row r="75" spans="2:12" x14ac:dyDescent="0.5">
      <c r="C75">
        <f>AVERAGE(C68:C73)</f>
        <v>21.146666666666665</v>
      </c>
      <c r="D75">
        <f t="shared" ref="D75:L75" si="34">AVERAGE(D68:D73)</f>
        <v>28.2</v>
      </c>
      <c r="E75">
        <f t="shared" si="34"/>
        <v>31.934999999999992</v>
      </c>
      <c r="F75">
        <f t="shared" si="34"/>
        <v>31.776666666666667</v>
      </c>
      <c r="G75">
        <f t="shared" si="34"/>
        <v>30.783333333333331</v>
      </c>
      <c r="H75">
        <f t="shared" si="34"/>
        <v>23.101666666666663</v>
      </c>
      <c r="I75">
        <f t="shared" si="34"/>
        <v>27.944999999999997</v>
      </c>
      <c r="J75">
        <f t="shared" si="34"/>
        <v>33.466666666666669</v>
      </c>
      <c r="K75">
        <f t="shared" si="34"/>
        <v>37.028333333333329</v>
      </c>
      <c r="L75">
        <f t="shared" si="34"/>
        <v>38.46</v>
      </c>
    </row>
    <row r="76" spans="2:12" x14ac:dyDescent="0.5">
      <c r="C76">
        <f>C75</f>
        <v>21.146666666666665</v>
      </c>
      <c r="D76">
        <f t="shared" ref="D76:G76" si="35">D75</f>
        <v>28.2</v>
      </c>
      <c r="E76">
        <f t="shared" si="35"/>
        <v>31.934999999999992</v>
      </c>
      <c r="F76">
        <f t="shared" si="35"/>
        <v>31.776666666666667</v>
      </c>
      <c r="G76">
        <f t="shared" si="35"/>
        <v>30.783333333333331</v>
      </c>
      <c r="H76">
        <f>H75+8</f>
        <v>31.101666666666663</v>
      </c>
      <c r="I76">
        <f t="shared" ref="I76:L76" si="36">I75+8</f>
        <v>35.944999999999993</v>
      </c>
      <c r="J76">
        <f t="shared" si="36"/>
        <v>41.466666666666669</v>
      </c>
      <c r="K76">
        <f t="shared" si="36"/>
        <v>45.028333333333329</v>
      </c>
      <c r="L76">
        <f t="shared" si="36"/>
        <v>46.46</v>
      </c>
    </row>
    <row r="77" spans="2:12" x14ac:dyDescent="0.5">
      <c r="C77">
        <f>_xlfn.STDEV.P(C68:C73)</f>
        <v>0.29454296045832667</v>
      </c>
      <c r="D77">
        <f t="shared" ref="D77:L77" si="37">_xlfn.STDEV.P(D68:D73)</f>
        <v>0.23409399821439303</v>
      </c>
      <c r="E77">
        <f t="shared" si="37"/>
        <v>0.19345542122153159</v>
      </c>
      <c r="F77">
        <f t="shared" si="37"/>
        <v>0.44540867626135239</v>
      </c>
      <c r="G77">
        <f t="shared" si="37"/>
        <v>0.40011109568329817</v>
      </c>
      <c r="H77">
        <f t="shared" si="37"/>
        <v>0.56218077361487828</v>
      </c>
      <c r="I77">
        <f t="shared" si="37"/>
        <v>0.22013253583542228</v>
      </c>
      <c r="J77">
        <f t="shared" si="37"/>
        <v>0.32154142639617633</v>
      </c>
      <c r="K77">
        <f t="shared" si="37"/>
        <v>0.41722961970065681</v>
      </c>
      <c r="L77">
        <f t="shared" si="37"/>
        <v>0.26419689627245618</v>
      </c>
    </row>
  </sheetData>
  <mergeCells count="5">
    <mergeCell ref="B1:L1"/>
    <mergeCell ref="B17:L17"/>
    <mergeCell ref="B33:L33"/>
    <mergeCell ref="B48:L48"/>
    <mergeCell ref="B64:L6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FCB9-20A9-4365-BD32-12E43087E8A3}">
  <dimension ref="A1:C13"/>
  <sheetViews>
    <sheetView workbookViewId="0">
      <selection activeCell="A2" sqref="A2:C13"/>
    </sheetView>
  </sheetViews>
  <sheetFormatPr defaultRowHeight="14.35" x14ac:dyDescent="0.5"/>
  <sheetData>
    <row r="1" spans="1:3" x14ac:dyDescent="0.5">
      <c r="A1" t="s">
        <v>83</v>
      </c>
      <c r="B1" t="s">
        <v>82</v>
      </c>
      <c r="C1" t="s">
        <v>2</v>
      </c>
    </row>
    <row r="2" spans="1:3" x14ac:dyDescent="0.5">
      <c r="A2">
        <v>81</v>
      </c>
      <c r="B2">
        <v>1.0858263157894737E-2</v>
      </c>
      <c r="C2">
        <f>B2*1000</f>
        <v>10.858263157894736</v>
      </c>
    </row>
    <row r="3" spans="1:3" x14ac:dyDescent="0.5">
      <c r="A3">
        <v>74</v>
      </c>
      <c r="B3">
        <v>3.483071052631579E-2</v>
      </c>
      <c r="C3">
        <f t="shared" ref="C3:C13" si="0">B3*1000</f>
        <v>34.830710526315791</v>
      </c>
    </row>
    <row r="4" spans="1:3" x14ac:dyDescent="0.5">
      <c r="A4">
        <v>69</v>
      </c>
      <c r="B4">
        <v>7.3047736842105263E-2</v>
      </c>
      <c r="C4">
        <f t="shared" si="0"/>
        <v>73.047736842105266</v>
      </c>
    </row>
    <row r="5" spans="1:3" x14ac:dyDescent="0.5">
      <c r="A5">
        <v>65</v>
      </c>
      <c r="B5">
        <v>0.12039921052631579</v>
      </c>
      <c r="C5">
        <f t="shared" si="0"/>
        <v>120.39921052631578</v>
      </c>
    </row>
    <row r="6" spans="1:3" x14ac:dyDescent="0.5">
      <c r="A6">
        <v>62</v>
      </c>
      <c r="B6">
        <v>0.16395705263157895</v>
      </c>
      <c r="C6">
        <f t="shared" si="0"/>
        <v>163.95705263157896</v>
      </c>
    </row>
    <row r="7" spans="1:3" x14ac:dyDescent="0.5">
      <c r="A7">
        <v>57</v>
      </c>
      <c r="B7">
        <v>0.25644615789473685</v>
      </c>
      <c r="C7">
        <f t="shared" si="0"/>
        <v>256.44615789473687</v>
      </c>
    </row>
    <row r="8" spans="1:3" x14ac:dyDescent="0.5">
      <c r="A8">
        <v>53</v>
      </c>
      <c r="B8">
        <v>0.35260005263157895</v>
      </c>
      <c r="C8">
        <f t="shared" si="0"/>
        <v>352.60005263157893</v>
      </c>
    </row>
    <row r="9" spans="1:3" x14ac:dyDescent="0.5">
      <c r="A9">
        <v>50</v>
      </c>
      <c r="B9">
        <v>0.4272261315789474</v>
      </c>
      <c r="C9">
        <f t="shared" si="0"/>
        <v>427.22613157894739</v>
      </c>
    </row>
    <row r="10" spans="1:3" x14ac:dyDescent="0.5">
      <c r="A10">
        <v>47</v>
      </c>
      <c r="B10">
        <v>0.52149989473684211</v>
      </c>
      <c r="C10">
        <f t="shared" si="0"/>
        <v>521.49989473684207</v>
      </c>
    </row>
    <row r="11" spans="1:3" x14ac:dyDescent="0.5">
      <c r="A11">
        <v>45</v>
      </c>
      <c r="B11">
        <v>0.58633578947368425</v>
      </c>
      <c r="C11">
        <f t="shared" si="0"/>
        <v>586.33578947368426</v>
      </c>
    </row>
    <row r="12" spans="1:3" x14ac:dyDescent="0.5">
      <c r="A12">
        <v>43</v>
      </c>
      <c r="B12">
        <v>0.63771905263157891</v>
      </c>
      <c r="C12">
        <f t="shared" si="0"/>
        <v>637.71905263157896</v>
      </c>
    </row>
    <row r="13" spans="1:3" x14ac:dyDescent="0.5">
      <c r="A13">
        <v>41</v>
      </c>
      <c r="B13">
        <v>0.70505297368421049</v>
      </c>
      <c r="C13">
        <f t="shared" si="0"/>
        <v>705.05297368421054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6629-BB94-4D0A-86E0-0CA1551BBA8D}">
  <dimension ref="A1:AK22"/>
  <sheetViews>
    <sheetView tabSelected="1" zoomScale="90" workbookViewId="0">
      <selection activeCell="A2" sqref="A2:AF22"/>
    </sheetView>
  </sheetViews>
  <sheetFormatPr defaultRowHeight="14.35" x14ac:dyDescent="0.5"/>
  <cols>
    <col min="1" max="1" width="26.1171875" bestFit="1" customWidth="1"/>
    <col min="2" max="2" width="21.52734375" customWidth="1"/>
    <col min="3" max="3" width="11" customWidth="1"/>
    <col min="9" max="9" width="22.52734375" customWidth="1"/>
    <col min="10" max="10" width="27.52734375" customWidth="1"/>
    <col min="11" max="11" width="27.1171875" customWidth="1"/>
    <col min="13" max="21" width="9.41015625" customWidth="1"/>
    <col min="22" max="22" width="10.41015625" customWidth="1"/>
    <col min="23" max="23" width="32.64453125" bestFit="1" customWidth="1"/>
    <col min="24" max="24" width="15.52734375" bestFit="1" customWidth="1"/>
    <col min="25" max="27" width="12" bestFit="1" customWidth="1"/>
    <col min="28" max="28" width="7" bestFit="1" customWidth="1"/>
    <col min="29" max="35" width="12" bestFit="1" customWidth="1"/>
    <col min="36" max="36" width="32.64453125" bestFit="1" customWidth="1"/>
    <col min="37" max="37" width="12" bestFit="1" customWidth="1"/>
    <col min="38" max="38" width="32.64453125" bestFit="1" customWidth="1"/>
    <col min="39" max="39" width="12" bestFit="1" customWidth="1"/>
    <col min="40" max="40" width="32.64453125" bestFit="1" customWidth="1"/>
    <col min="41" max="41" width="12" bestFit="1" customWidth="1"/>
    <col min="42" max="42" width="32.64453125" bestFit="1" customWidth="1"/>
    <col min="43" max="43" width="12" bestFit="1" customWidth="1"/>
    <col min="44" max="44" width="37.234375" bestFit="1" customWidth="1"/>
    <col min="45" max="45" width="14.41015625" bestFit="1" customWidth="1"/>
  </cols>
  <sheetData>
    <row r="1" spans="1:37" x14ac:dyDescent="0.5">
      <c r="A1" t="s">
        <v>56</v>
      </c>
      <c r="B1" t="s">
        <v>57</v>
      </c>
      <c r="C1" t="s">
        <v>53</v>
      </c>
      <c r="D1" t="s">
        <v>28</v>
      </c>
      <c r="E1" t="s">
        <v>55</v>
      </c>
      <c r="F1" t="s">
        <v>83</v>
      </c>
      <c r="G1" s="4" t="s">
        <v>2</v>
      </c>
      <c r="H1" t="s">
        <v>3</v>
      </c>
      <c r="I1" t="s">
        <v>52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</row>
    <row r="2" spans="1:37" x14ac:dyDescent="0.5">
      <c r="A2" t="s">
        <v>58</v>
      </c>
      <c r="B2" t="str">
        <f>SUBSTITUTE(TEXT(Table2[[#This Row],[PSI]],"0.0"),".","")&amp;"_"&amp;TEXT(Table2[[#This Row],[Atten]],"0")</f>
        <v>00_74</v>
      </c>
      <c r="C2" t="s">
        <v>54</v>
      </c>
      <c r="D2">
        <v>0</v>
      </c>
      <c r="E2">
        <f>Table2[[#This Row],[PSI]]*50</f>
        <v>0</v>
      </c>
      <c r="F2">
        <v>74</v>
      </c>
      <c r="G2" s="1" cm="1">
        <f t="array" ref="G2">_xlfn.XLOOKUP(Table2[[#This Row],[Atten]],VoltageToPressureConversion[[#All],[Atten]],VoltageToPressureConversion[[#All],[kPa]])</f>
        <v>34.830710526315791</v>
      </c>
      <c r="H2">
        <v>3</v>
      </c>
      <c r="I2">
        <v>0</v>
      </c>
      <c r="J2">
        <f>AVERAGE(Table2[[#This Row],[Frame 1]:[Frame 20]])</f>
        <v>3.7666666666666662</v>
      </c>
      <c r="K2">
        <f>Table2[[#This Row],[Averge Before Gain Adjustment]]+Table2[[#This Row],[Decibel Gain Adjustment]]</f>
        <v>3.7666666666666662</v>
      </c>
      <c r="L2">
        <f>_xlfn.STDEV.P(Table2[[#This Row],[Frame 1]:[Frame 20]])</f>
        <v>0.46610680702555513</v>
      </c>
      <c r="M2">
        <v>4.28</v>
      </c>
      <c r="N2">
        <v>2.82</v>
      </c>
      <c r="O2">
        <v>3.66</v>
      </c>
      <c r="P2">
        <v>3.87</v>
      </c>
      <c r="Q2">
        <v>4.0999999999999996</v>
      </c>
      <c r="R2">
        <v>3.87</v>
      </c>
    </row>
    <row r="3" spans="1:37" x14ac:dyDescent="0.5">
      <c r="A3" t="s">
        <v>59</v>
      </c>
      <c r="B3" t="str">
        <f>SUBSTITUTE(TEXT(Table2[[#This Row],[PSI]],"0.0"),".","")&amp;"_"&amp;TEXT(Table2[[#This Row],[Atten]],"0")</f>
        <v>00_69</v>
      </c>
      <c r="C3" t="s">
        <v>54</v>
      </c>
      <c r="D3">
        <v>0</v>
      </c>
      <c r="E3">
        <f>Table2[[#This Row],[PSI]]*50</f>
        <v>0</v>
      </c>
      <c r="F3">
        <v>69</v>
      </c>
      <c r="G3" s="1" cm="1">
        <f t="array" ref="G3">_xlfn.XLOOKUP(Table2[[#This Row],[Atten]],VoltageToPressureConversion[[#All],[Atten]],VoltageToPressureConversion[[#All],[kPa]])</f>
        <v>73.047736842105266</v>
      </c>
      <c r="H3">
        <v>4</v>
      </c>
      <c r="I3">
        <v>0</v>
      </c>
      <c r="J3">
        <f>AVERAGE(Table2[[#This Row],[Frame 1]:[Frame 20]])</f>
        <v>14.151666666666666</v>
      </c>
      <c r="K3">
        <f>Table2[[#This Row],[Averge Before Gain Adjustment]]+Table2[[#This Row],[Decibel Gain Adjustment]]</f>
        <v>14.151666666666666</v>
      </c>
      <c r="L3">
        <f>_xlfn.STDEV.P(Table2[[#This Row],[Frame 1]:[Frame 20]])</f>
        <v>0.25660713595343049</v>
      </c>
      <c r="M3">
        <v>14.22</v>
      </c>
      <c r="N3">
        <v>13.82</v>
      </c>
      <c r="O3">
        <v>14.31</v>
      </c>
      <c r="P3">
        <v>13.87</v>
      </c>
      <c r="Q3">
        <v>14.12</v>
      </c>
      <c r="R3">
        <v>14.57</v>
      </c>
      <c r="AH3" s="2" t="s">
        <v>80</v>
      </c>
      <c r="AI3" s="2" t="s">
        <v>81</v>
      </c>
    </row>
    <row r="4" spans="1:37" x14ac:dyDescent="0.5">
      <c r="A4" t="s">
        <v>60</v>
      </c>
      <c r="B4" t="str">
        <f>SUBSTITUTE(TEXT(Table2[[#This Row],[PSI]],"0.0"),".","")&amp;"_"&amp;TEXT(Table2[[#This Row],[Atten]],"0")</f>
        <v>00_62</v>
      </c>
      <c r="C4" t="s">
        <v>54</v>
      </c>
      <c r="D4">
        <v>0</v>
      </c>
      <c r="E4">
        <f>Table2[[#This Row],[PSI]]*50</f>
        <v>0</v>
      </c>
      <c r="F4">
        <v>62</v>
      </c>
      <c r="G4" s="1" cm="1">
        <f t="array" ref="G4">_xlfn.XLOOKUP(Table2[[#This Row],[Atten]],VoltageToPressureConversion[[#All],[Atten]],VoltageToPressureConversion[[#All],[kPa]])</f>
        <v>163.95705263157896</v>
      </c>
      <c r="H4">
        <v>6</v>
      </c>
      <c r="I4">
        <v>0</v>
      </c>
      <c r="J4">
        <f>AVERAGE(Table2[[#This Row],[Frame 1]:[Frame 20]])</f>
        <v>21.705714285714286</v>
      </c>
      <c r="K4">
        <f>Table2[[#This Row],[Averge Before Gain Adjustment]]+Table2[[#This Row],[Decibel Gain Adjustment]]</f>
        <v>21.705714285714286</v>
      </c>
      <c r="L4">
        <f>_xlfn.STDEV.P(Table2[[#This Row],[Frame 1]:[Frame 20]])</f>
        <v>0.22012056065822236</v>
      </c>
      <c r="M4">
        <v>21.8</v>
      </c>
      <c r="N4">
        <v>21.24</v>
      </c>
      <c r="O4">
        <v>21.92</v>
      </c>
      <c r="P4">
        <v>21.89</v>
      </c>
      <c r="Q4">
        <v>21.59</v>
      </c>
      <c r="R4">
        <v>21.84</v>
      </c>
      <c r="S4">
        <v>21.66</v>
      </c>
      <c r="AH4" s="2" t="s">
        <v>78</v>
      </c>
      <c r="AI4">
        <v>0</v>
      </c>
      <c r="AJ4">
        <v>20</v>
      </c>
      <c r="AK4" t="s">
        <v>79</v>
      </c>
    </row>
    <row r="5" spans="1:37" x14ac:dyDescent="0.5">
      <c r="A5" t="s">
        <v>61</v>
      </c>
      <c r="B5" t="str">
        <f>SUBSTITUTE(TEXT(Table2[[#This Row],[PSI]],"0.0"),".","")&amp;"_"&amp;TEXT(Table2[[#This Row],[Atten]],"0")</f>
        <v>00_57</v>
      </c>
      <c r="C5" t="s">
        <v>54</v>
      </c>
      <c r="D5">
        <v>0</v>
      </c>
      <c r="E5">
        <f>Table2[[#This Row],[PSI]]*50</f>
        <v>0</v>
      </c>
      <c r="F5">
        <v>57</v>
      </c>
      <c r="G5" s="1" cm="1">
        <f t="array" ref="G5">_xlfn.XLOOKUP(Table2[[#This Row],[Atten]],VoltageToPressureConversion[[#All],[Atten]],VoltageToPressureConversion[[#All],[kPa]])</f>
        <v>256.44615789473687</v>
      </c>
      <c r="H5">
        <v>8</v>
      </c>
      <c r="I5">
        <v>0</v>
      </c>
      <c r="J5">
        <f>AVERAGE(Table2[[#This Row],[Frame 1]:[Frame 20]])</f>
        <v>22.258333333333336</v>
      </c>
      <c r="K5">
        <f>Table2[[#This Row],[Averge Before Gain Adjustment]]+Table2[[#This Row],[Decibel Gain Adjustment]]</f>
        <v>22.258333333333336</v>
      </c>
      <c r="L5">
        <f>_xlfn.STDEV.P(Table2[[#This Row],[Frame 1]:[Frame 20]])</f>
        <v>0.35352589092675474</v>
      </c>
      <c r="M5">
        <v>22.73</v>
      </c>
      <c r="N5">
        <v>22.26</v>
      </c>
      <c r="O5">
        <v>22.48</v>
      </c>
      <c r="P5">
        <v>22.37</v>
      </c>
      <c r="Q5">
        <v>22.12</v>
      </c>
      <c r="R5">
        <v>21.59</v>
      </c>
      <c r="AH5" s="3">
        <v>73</v>
      </c>
      <c r="AI5">
        <v>3.7666666666666662</v>
      </c>
      <c r="AJ5">
        <v>6.8116666666666674</v>
      </c>
      <c r="AK5">
        <v>10.578333333333333</v>
      </c>
    </row>
    <row r="6" spans="1:37" x14ac:dyDescent="0.5">
      <c r="A6" t="s">
        <v>62</v>
      </c>
      <c r="B6" t="str">
        <f>SUBSTITUTE(TEXT(Table2[[#This Row],[PSI]],"0.0"),".","")&amp;"_"&amp;TEXT(Table2[[#This Row],[Atten]],"0")</f>
        <v>00_53</v>
      </c>
      <c r="C6" t="s">
        <v>54</v>
      </c>
      <c r="D6">
        <v>0</v>
      </c>
      <c r="E6">
        <f>Table2[[#This Row],[PSI]]*50</f>
        <v>0</v>
      </c>
      <c r="F6">
        <v>53</v>
      </c>
      <c r="G6" s="1" cm="1">
        <f t="array" ref="G6">_xlfn.XLOOKUP(Table2[[#This Row],[Atten]],VoltageToPressureConversion[[#All],[Atten]],VoltageToPressureConversion[[#All],[kPa]])</f>
        <v>352.60005263157893</v>
      </c>
      <c r="H6">
        <v>10</v>
      </c>
      <c r="I6">
        <v>0</v>
      </c>
      <c r="J6">
        <f>AVERAGE(Table2[[#This Row],[Frame 1]:[Frame 20]])</f>
        <v>23.161999999999999</v>
      </c>
      <c r="K6">
        <f>Table2[[#This Row],[Averge Before Gain Adjustment]]+Table2[[#This Row],[Decibel Gain Adjustment]]</f>
        <v>23.161999999999999</v>
      </c>
      <c r="L6">
        <f>_xlfn.STDEV.P(Table2[[#This Row],[Frame 1]:[Frame 20]])</f>
        <v>0.31996249780247737</v>
      </c>
      <c r="M6">
        <v>23.51</v>
      </c>
      <c r="N6">
        <v>22.66</v>
      </c>
      <c r="O6">
        <v>22.97</v>
      </c>
      <c r="P6">
        <v>23.48</v>
      </c>
      <c r="Q6">
        <v>23.19</v>
      </c>
      <c r="AH6" s="3">
        <v>120</v>
      </c>
      <c r="AI6">
        <v>14.151666666666666</v>
      </c>
      <c r="AJ6">
        <v>17.821666666666665</v>
      </c>
      <c r="AK6">
        <v>31.973333333333329</v>
      </c>
    </row>
    <row r="7" spans="1:37" x14ac:dyDescent="0.5">
      <c r="A7" t="s">
        <v>63</v>
      </c>
      <c r="B7" t="str">
        <f>SUBSTITUTE(TEXT(Table2[[#This Row],[PSI]],"0.0"),".","")&amp;"_"&amp;TEXT(Table2[[#This Row],[Atten]],"0")</f>
        <v>00_50</v>
      </c>
      <c r="C7" t="s">
        <v>54</v>
      </c>
      <c r="D7">
        <v>0</v>
      </c>
      <c r="E7">
        <f>Table2[[#This Row],[PSI]]*50</f>
        <v>0</v>
      </c>
      <c r="F7">
        <v>50</v>
      </c>
      <c r="G7" s="1" cm="1">
        <f t="array" ref="G7">_xlfn.XLOOKUP(Table2[[#This Row],[Atten]],VoltageToPressureConversion[[#All],[Atten]],VoltageToPressureConversion[[#All],[kPa]])</f>
        <v>427.22613157894739</v>
      </c>
      <c r="H7">
        <v>12</v>
      </c>
      <c r="I7">
        <v>8</v>
      </c>
      <c r="J7">
        <f>AVERAGE(Table2[[#This Row],[Frame 1]:[Frame 20]])</f>
        <v>19.276666666666667</v>
      </c>
      <c r="K7">
        <f>Table2[[#This Row],[Averge Before Gain Adjustment]]+Table2[[#This Row],[Decibel Gain Adjustment]]</f>
        <v>27.276666666666667</v>
      </c>
      <c r="L7">
        <f>_xlfn.STDEV.P(Table2[[#This Row],[Frame 1]:[Frame 20]])</f>
        <v>0.34422215049134813</v>
      </c>
      <c r="M7">
        <v>19.899999999999999</v>
      </c>
      <c r="N7">
        <v>19.27</v>
      </c>
      <c r="O7">
        <v>18.850000000000001</v>
      </c>
      <c r="P7">
        <v>19.440000000000001</v>
      </c>
      <c r="Q7">
        <v>19.260000000000002</v>
      </c>
      <c r="R7">
        <v>18.940000000000001</v>
      </c>
      <c r="AH7" s="3">
        <v>164</v>
      </c>
      <c r="AI7">
        <v>21.705714285714286</v>
      </c>
      <c r="AJ7">
        <v>24.116666666666664</v>
      </c>
      <c r="AK7">
        <v>45.822380952380954</v>
      </c>
    </row>
    <row r="8" spans="1:37" x14ac:dyDescent="0.5">
      <c r="A8" t="s">
        <v>64</v>
      </c>
      <c r="B8" t="str">
        <f>SUBSTITUTE(TEXT(Table2[[#This Row],[PSI]],"0.0"),".","")&amp;"_"&amp;TEXT(Table2[[#This Row],[Atten]],"0")</f>
        <v>00_47</v>
      </c>
      <c r="C8" t="s">
        <v>54</v>
      </c>
      <c r="D8">
        <v>0</v>
      </c>
      <c r="E8">
        <f>Table2[[#This Row],[PSI]]*50</f>
        <v>0</v>
      </c>
      <c r="F8">
        <v>47</v>
      </c>
      <c r="G8" s="1" cm="1">
        <f t="array" ref="G8">_xlfn.XLOOKUP(Table2[[#This Row],[Atten]],VoltageToPressureConversion[[#All],[Atten]],VoltageToPressureConversion[[#All],[kPa]])</f>
        <v>521.49989473684207</v>
      </c>
      <c r="H8">
        <v>14</v>
      </c>
      <c r="I8">
        <v>8</v>
      </c>
      <c r="J8">
        <f>AVERAGE(Table2[[#This Row],[Frame 1]:[Frame 20]])</f>
        <v>28.643333333333331</v>
      </c>
      <c r="K8">
        <f>Table2[[#This Row],[Averge Before Gain Adjustment]]+Table2[[#This Row],[Decibel Gain Adjustment]]</f>
        <v>36.643333333333331</v>
      </c>
      <c r="L8">
        <f>_xlfn.STDEV.P(Table2[[#This Row],[Frame 1]:[Frame 20]])</f>
        <v>0.38269512089332408</v>
      </c>
      <c r="M8">
        <v>29.26</v>
      </c>
      <c r="N8">
        <v>28.63</v>
      </c>
      <c r="O8">
        <v>28.27</v>
      </c>
      <c r="P8">
        <v>28.09</v>
      </c>
      <c r="Q8">
        <v>28.79</v>
      </c>
      <c r="R8">
        <v>28.82</v>
      </c>
      <c r="AH8" s="3">
        <v>256</v>
      </c>
      <c r="AI8">
        <v>22.258333333333336</v>
      </c>
      <c r="AJ8">
        <v>24.121666666666666</v>
      </c>
      <c r="AK8">
        <v>46.38</v>
      </c>
    </row>
    <row r="9" spans="1:37" x14ac:dyDescent="0.5">
      <c r="A9" t="s">
        <v>65</v>
      </c>
      <c r="B9" t="str">
        <f>SUBSTITUTE(TEXT(Table2[[#This Row],[PSI]],"0.0"),".","")&amp;"_"&amp;TEXT(Table2[[#This Row],[Atten]],"0")</f>
        <v>00_45</v>
      </c>
      <c r="C9" t="s">
        <v>54</v>
      </c>
      <c r="D9">
        <v>0</v>
      </c>
      <c r="E9">
        <f>Table2[[#This Row],[PSI]]*50</f>
        <v>0</v>
      </c>
      <c r="F9">
        <v>45</v>
      </c>
      <c r="G9" s="1" cm="1">
        <f t="array" ref="G9">_xlfn.XLOOKUP(Table2[[#This Row],[Atten]],VoltageToPressureConversion[[#All],[Atten]],VoltageToPressureConversion[[#All],[kPa]])</f>
        <v>586.33578947368426</v>
      </c>
      <c r="H9">
        <v>16</v>
      </c>
      <c r="I9">
        <v>8</v>
      </c>
      <c r="J9">
        <f>AVERAGE(Table2[[#This Row],[Frame 1]:[Frame 20]])</f>
        <v>33.594999999999999</v>
      </c>
      <c r="K9">
        <f>Table2[[#This Row],[Averge Before Gain Adjustment]]+Table2[[#This Row],[Decibel Gain Adjustment]]</f>
        <v>41.594999999999999</v>
      </c>
      <c r="L9">
        <f>_xlfn.STDEV.P(Table2[[#This Row],[Frame 1]:[Frame 20]])</f>
        <v>0.15798206649279259</v>
      </c>
      <c r="M9">
        <v>33.630000000000003</v>
      </c>
      <c r="N9">
        <v>33.380000000000003</v>
      </c>
      <c r="O9">
        <v>33.549999999999997</v>
      </c>
      <c r="P9">
        <v>33.51</v>
      </c>
      <c r="Q9">
        <v>33.6</v>
      </c>
      <c r="R9">
        <v>33.9</v>
      </c>
      <c r="AH9" s="3">
        <v>353</v>
      </c>
      <c r="AI9">
        <v>23.161999999999999</v>
      </c>
      <c r="AJ9">
        <v>24.66</v>
      </c>
      <c r="AK9">
        <v>47.822000000000003</v>
      </c>
    </row>
    <row r="10" spans="1:37" x14ac:dyDescent="0.5">
      <c r="A10" t="s">
        <v>66</v>
      </c>
      <c r="B10" t="str">
        <f>SUBSTITUTE(TEXT(Table2[[#This Row],[PSI]],"0.0"),".","")&amp;"_"&amp;TEXT(Table2[[#This Row],[Atten]],"0")</f>
        <v>00_43</v>
      </c>
      <c r="C10" t="s">
        <v>54</v>
      </c>
      <c r="D10">
        <v>0</v>
      </c>
      <c r="E10">
        <f>Table2[[#This Row],[PSI]]*50</f>
        <v>0</v>
      </c>
      <c r="F10">
        <v>43</v>
      </c>
      <c r="G10" s="1" cm="1">
        <f t="array" ref="G10">_xlfn.XLOOKUP(Table2[[#This Row],[Atten]],VoltageToPressureConversion[[#All],[Atten]],VoltageToPressureConversion[[#All],[kPa]])</f>
        <v>637.71905263157896</v>
      </c>
      <c r="H10">
        <v>18</v>
      </c>
      <c r="I10">
        <v>8</v>
      </c>
      <c r="J10">
        <f>AVERAGE(Table2[[#This Row],[Frame 1]:[Frame 20]])</f>
        <v>36.341666666666669</v>
      </c>
      <c r="K10">
        <f>Table2[[#This Row],[Averge Before Gain Adjustment]]+Table2[[#This Row],[Decibel Gain Adjustment]]</f>
        <v>44.341666666666669</v>
      </c>
      <c r="L10">
        <f>_xlfn.STDEV.P(Table2[[#This Row],[Frame 1]:[Frame 20]])</f>
        <v>0.49914649374930087</v>
      </c>
      <c r="M10">
        <v>37.299999999999997</v>
      </c>
      <c r="N10">
        <v>35.840000000000003</v>
      </c>
      <c r="O10">
        <v>36.56</v>
      </c>
      <c r="P10">
        <v>36.130000000000003</v>
      </c>
      <c r="Q10">
        <v>36.36</v>
      </c>
      <c r="R10">
        <v>35.86</v>
      </c>
      <c r="AH10" s="3">
        <v>427</v>
      </c>
      <c r="AI10">
        <v>27.276666666666667</v>
      </c>
      <c r="AJ10">
        <v>27.903333333333332</v>
      </c>
      <c r="AK10">
        <v>55.18</v>
      </c>
    </row>
    <row r="11" spans="1:37" x14ac:dyDescent="0.5">
      <c r="A11" t="s">
        <v>67</v>
      </c>
      <c r="B11" t="str">
        <f>SUBSTITUTE(TEXT(Table2[[#This Row],[PSI]],"0.0"),".","")&amp;"_"&amp;TEXT(Table2[[#This Row],[Atten]],"0")</f>
        <v>00_41</v>
      </c>
      <c r="C11" t="s">
        <v>54</v>
      </c>
      <c r="D11">
        <v>0</v>
      </c>
      <c r="E11">
        <f>Table2[[#This Row],[PSI]]*50</f>
        <v>0</v>
      </c>
      <c r="F11">
        <v>41</v>
      </c>
      <c r="G11" s="1" cm="1">
        <f t="array" ref="G11">_xlfn.XLOOKUP(Table2[[#This Row],[Atten]],VoltageToPressureConversion[[#All],[Atten]],VoltageToPressureConversion[[#All],[kPa]])</f>
        <v>705.05297368421054</v>
      </c>
      <c r="H11">
        <v>20</v>
      </c>
      <c r="I11">
        <v>8</v>
      </c>
      <c r="J11">
        <f>AVERAGE(Table2[[#This Row],[Frame 1]:[Frame 20]])</f>
        <v>38.448333333333331</v>
      </c>
      <c r="K11">
        <f>Table2[[#This Row],[Averge Before Gain Adjustment]]+Table2[[#This Row],[Decibel Gain Adjustment]]</f>
        <v>46.448333333333331</v>
      </c>
      <c r="L11">
        <f>_xlfn.STDEV.P(Table2[[#This Row],[Frame 1]:[Frame 20]])</f>
        <v>0.46531052952720486</v>
      </c>
      <c r="M11">
        <v>39.25</v>
      </c>
      <c r="N11">
        <v>38.200000000000003</v>
      </c>
      <c r="O11">
        <v>38.51</v>
      </c>
      <c r="P11">
        <v>38.409999999999997</v>
      </c>
      <c r="Q11">
        <v>38.619999999999997</v>
      </c>
      <c r="R11">
        <v>37.700000000000003</v>
      </c>
      <c r="AH11" s="3">
        <v>522</v>
      </c>
      <c r="AI11">
        <v>36.643333333333331</v>
      </c>
      <c r="AJ11">
        <v>36.656666666666666</v>
      </c>
      <c r="AK11">
        <v>73.3</v>
      </c>
    </row>
    <row r="12" spans="1:37" x14ac:dyDescent="0.5">
      <c r="A12" t="s">
        <v>68</v>
      </c>
      <c r="B12" t="str">
        <f>SUBSTITUTE(TEXT(Table2[[#This Row],[PSI]],"0.0"),".","")&amp;"_"&amp;TEXT(Table2[[#This Row],[Atten]],"0")</f>
        <v>04_74</v>
      </c>
      <c r="C12" t="s">
        <v>54</v>
      </c>
      <c r="D12">
        <v>0.4</v>
      </c>
      <c r="E12">
        <f>Table2[[#This Row],[PSI]]*50</f>
        <v>20</v>
      </c>
      <c r="F12">
        <v>74</v>
      </c>
      <c r="G12" s="1" cm="1">
        <f t="array" ref="G12">_xlfn.XLOOKUP(Table2[[#This Row],[Atten]],VoltageToPressureConversion[[#All],[Atten]],VoltageToPressureConversion[[#All],[kPa]])</f>
        <v>34.830710526315791</v>
      </c>
      <c r="H12">
        <v>3</v>
      </c>
      <c r="I12">
        <v>0</v>
      </c>
      <c r="J12">
        <f>AVERAGE(Table2[[#This Row],[Frame 1]:[Frame 20]])</f>
        <v>6.8116666666666674</v>
      </c>
      <c r="K12">
        <f>Table2[[#This Row],[Averge Before Gain Adjustment]]+Table2[[#This Row],[Decibel Gain Adjustment]]</f>
        <v>6.8116666666666674</v>
      </c>
      <c r="L12">
        <f>_xlfn.STDEV.P(Table2[[#This Row],[Frame 1]:[Frame 20]])</f>
        <v>0.52670094825136682</v>
      </c>
      <c r="M12">
        <v>7.63</v>
      </c>
      <c r="N12">
        <v>5.89</v>
      </c>
      <c r="O12">
        <v>6.75</v>
      </c>
      <c r="P12">
        <v>7</v>
      </c>
      <c r="Q12">
        <v>6.57</v>
      </c>
      <c r="R12">
        <v>7.03</v>
      </c>
      <c r="AH12" s="3">
        <v>586</v>
      </c>
      <c r="AI12">
        <v>41.594999999999999</v>
      </c>
      <c r="AJ12">
        <v>42.023333333333333</v>
      </c>
      <c r="AK12">
        <v>83.618333333333339</v>
      </c>
    </row>
    <row r="13" spans="1:37" x14ac:dyDescent="0.5">
      <c r="A13" t="s">
        <v>69</v>
      </c>
      <c r="B13" t="str">
        <f>SUBSTITUTE(TEXT(Table2[[#This Row],[PSI]],"0.0"),".","")&amp;"_"&amp;TEXT(Table2[[#This Row],[Atten]],"0")</f>
        <v>04_69</v>
      </c>
      <c r="C13" t="s">
        <v>54</v>
      </c>
      <c r="D13">
        <v>0.4</v>
      </c>
      <c r="E13">
        <f>Table2[[#This Row],[PSI]]*50</f>
        <v>20</v>
      </c>
      <c r="F13">
        <v>69</v>
      </c>
      <c r="G13" s="1" cm="1">
        <f t="array" ref="G13">_xlfn.XLOOKUP(Table2[[#This Row],[Atten]],VoltageToPressureConversion[[#All],[Atten]],VoltageToPressureConversion[[#All],[kPa]])</f>
        <v>73.047736842105266</v>
      </c>
      <c r="H13">
        <v>4</v>
      </c>
      <c r="I13">
        <v>0</v>
      </c>
      <c r="J13">
        <f>AVERAGE(Table2[[#This Row],[Frame 1]:[Frame 20]])</f>
        <v>17.821666666666665</v>
      </c>
      <c r="K13">
        <f>Table2[[#This Row],[Averge Before Gain Adjustment]]+Table2[[#This Row],[Decibel Gain Adjustment]]</f>
        <v>17.821666666666665</v>
      </c>
      <c r="L13">
        <f>_xlfn.STDEV.P(Table2[[#This Row],[Frame 1]:[Frame 20]])</f>
        <v>0.28115337846489152</v>
      </c>
      <c r="M13">
        <v>17.73</v>
      </c>
      <c r="N13">
        <v>17.54</v>
      </c>
      <c r="O13">
        <v>17.89</v>
      </c>
      <c r="P13">
        <v>17.8</v>
      </c>
      <c r="Q13">
        <v>17.579999999999998</v>
      </c>
      <c r="R13">
        <v>18.39</v>
      </c>
      <c r="AH13" s="3">
        <v>638</v>
      </c>
      <c r="AI13">
        <v>44.341666666666669</v>
      </c>
      <c r="AJ13">
        <v>45.664999999999999</v>
      </c>
      <c r="AK13">
        <v>90.006666666666661</v>
      </c>
    </row>
    <row r="14" spans="1:37" x14ac:dyDescent="0.5">
      <c r="A14" t="s">
        <v>70</v>
      </c>
      <c r="B14" t="str">
        <f>SUBSTITUTE(TEXT(Table2[[#This Row],[PSI]],"0.0"),".","")&amp;"_"&amp;TEXT(Table2[[#This Row],[Atten]],"0")</f>
        <v>04_62</v>
      </c>
      <c r="C14" t="s">
        <v>54</v>
      </c>
      <c r="D14">
        <v>0.4</v>
      </c>
      <c r="E14">
        <f>Table2[[#This Row],[PSI]]*50</f>
        <v>20</v>
      </c>
      <c r="F14">
        <v>62</v>
      </c>
      <c r="G14" s="1" cm="1">
        <f t="array" ref="G14">_xlfn.XLOOKUP(Table2[[#This Row],[Atten]],VoltageToPressureConversion[[#All],[Atten]],VoltageToPressureConversion[[#All],[kPa]])</f>
        <v>163.95705263157896</v>
      </c>
      <c r="H14">
        <v>6</v>
      </c>
      <c r="I14">
        <v>0</v>
      </c>
      <c r="J14">
        <f>AVERAGE(Table2[[#This Row],[Frame 1]:[Frame 20]])</f>
        <v>24.116666666666664</v>
      </c>
      <c r="K14">
        <f>Table2[[#This Row],[Averge Before Gain Adjustment]]+Table2[[#This Row],[Decibel Gain Adjustment]]</f>
        <v>24.116666666666664</v>
      </c>
      <c r="L14">
        <f>_xlfn.STDEV.P(Table2[[#This Row],[Frame 1]:[Frame 20]])</f>
        <v>0.30695638488590271</v>
      </c>
      <c r="M14">
        <v>24.04</v>
      </c>
      <c r="N14">
        <v>23.81</v>
      </c>
      <c r="O14">
        <v>24.43</v>
      </c>
      <c r="P14">
        <v>24.28</v>
      </c>
      <c r="Q14">
        <v>23.66</v>
      </c>
      <c r="R14">
        <v>24.48</v>
      </c>
      <c r="AH14" s="3">
        <v>705</v>
      </c>
      <c r="AI14">
        <v>46.448333333333331</v>
      </c>
      <c r="AJ14">
        <v>46.938571428571429</v>
      </c>
      <c r="AK14">
        <v>93.386904761904759</v>
      </c>
    </row>
    <row r="15" spans="1:37" x14ac:dyDescent="0.5">
      <c r="A15" t="s">
        <v>71</v>
      </c>
      <c r="B15" t="str">
        <f>SUBSTITUTE(TEXT(Table2[[#This Row],[PSI]],"0.0"),".","")&amp;"_"&amp;TEXT(Table2[[#This Row],[Atten]],"0")</f>
        <v>04_57</v>
      </c>
      <c r="C15" t="s">
        <v>54</v>
      </c>
      <c r="D15">
        <v>0.4</v>
      </c>
      <c r="E15">
        <f>Table2[[#This Row],[PSI]]*50</f>
        <v>20</v>
      </c>
      <c r="F15">
        <v>57</v>
      </c>
      <c r="G15" s="1" cm="1">
        <f t="array" ref="G15">_xlfn.XLOOKUP(Table2[[#This Row],[Atten]],VoltageToPressureConversion[[#All],[Atten]],VoltageToPressureConversion[[#All],[kPa]])</f>
        <v>256.44615789473687</v>
      </c>
      <c r="H15">
        <v>8</v>
      </c>
      <c r="I15">
        <v>0</v>
      </c>
      <c r="J15">
        <f>AVERAGE(Table2[[#This Row],[Frame 1]:[Frame 20]])</f>
        <v>24.121666666666666</v>
      </c>
      <c r="K15">
        <f>Table2[[#This Row],[Averge Before Gain Adjustment]]+Table2[[#This Row],[Decibel Gain Adjustment]]</f>
        <v>24.121666666666666</v>
      </c>
      <c r="L15">
        <f>_xlfn.STDEV.P(Table2[[#This Row],[Frame 1]:[Frame 20]])</f>
        <v>0.12746459203332591</v>
      </c>
      <c r="M15">
        <v>23.86</v>
      </c>
      <c r="N15">
        <v>24.2</v>
      </c>
      <c r="O15">
        <v>24.27</v>
      </c>
      <c r="P15">
        <v>24.13</v>
      </c>
      <c r="Q15">
        <v>24.15</v>
      </c>
      <c r="R15">
        <v>24.12</v>
      </c>
      <c r="AH15" s="3" t="s">
        <v>79</v>
      </c>
      <c r="AI15">
        <v>281.34938095238095</v>
      </c>
      <c r="AJ15">
        <v>296.71857142857141</v>
      </c>
      <c r="AK15">
        <v>578.06795238095242</v>
      </c>
    </row>
    <row r="16" spans="1:37" x14ac:dyDescent="0.5">
      <c r="A16" t="s">
        <v>72</v>
      </c>
      <c r="B16" t="str">
        <f>SUBSTITUTE(TEXT(Table2[[#This Row],[PSI]],"0.0"),".","")&amp;"_"&amp;TEXT(Table2[[#This Row],[Atten]],"0")</f>
        <v>04_53</v>
      </c>
      <c r="C16" t="s">
        <v>54</v>
      </c>
      <c r="D16">
        <v>0.4</v>
      </c>
      <c r="E16">
        <f>Table2[[#This Row],[PSI]]*50</f>
        <v>20</v>
      </c>
      <c r="F16">
        <v>53</v>
      </c>
      <c r="G16" s="1" cm="1">
        <f t="array" ref="G16">_xlfn.XLOOKUP(Table2[[#This Row],[Atten]],VoltageToPressureConversion[[#All],[Atten]],VoltageToPressureConversion[[#All],[kPa]])</f>
        <v>352.60005263157893</v>
      </c>
      <c r="H16">
        <v>10</v>
      </c>
      <c r="I16">
        <v>0</v>
      </c>
      <c r="J16">
        <f>AVERAGE(Table2[[#This Row],[Frame 1]:[Frame 20]])</f>
        <v>24.66</v>
      </c>
      <c r="K16">
        <f>Table2[[#This Row],[Averge Before Gain Adjustment]]+Table2[[#This Row],[Decibel Gain Adjustment]]</f>
        <v>24.66</v>
      </c>
      <c r="L16">
        <f>_xlfn.STDEV.P(Table2[[#This Row],[Frame 1]:[Frame 20]])</f>
        <v>0.31128764832546746</v>
      </c>
      <c r="M16">
        <v>25.14</v>
      </c>
      <c r="N16">
        <v>24.86</v>
      </c>
      <c r="O16">
        <v>24.51</v>
      </c>
      <c r="P16">
        <v>24.14</v>
      </c>
      <c r="Q16">
        <v>24.56</v>
      </c>
      <c r="R16">
        <v>24.75</v>
      </c>
    </row>
    <row r="17" spans="1:19" x14ac:dyDescent="0.5">
      <c r="A17" t="s">
        <v>73</v>
      </c>
      <c r="B17" t="str">
        <f>SUBSTITUTE(TEXT(Table2[[#This Row],[PSI]],"0.0"),".","")&amp;"_"&amp;TEXT(Table2[[#This Row],[Atten]],"0")</f>
        <v>04_50</v>
      </c>
      <c r="C17" t="s">
        <v>54</v>
      </c>
      <c r="D17">
        <v>0.4</v>
      </c>
      <c r="E17">
        <f>Table2[[#This Row],[PSI]]*50</f>
        <v>20</v>
      </c>
      <c r="F17">
        <v>50</v>
      </c>
      <c r="G17" s="1" cm="1">
        <f t="array" ref="G17">_xlfn.XLOOKUP(Table2[[#This Row],[Atten]],VoltageToPressureConversion[[#All],[Atten]],VoltageToPressureConversion[[#All],[kPa]])</f>
        <v>427.22613157894739</v>
      </c>
      <c r="H17">
        <v>12</v>
      </c>
      <c r="I17">
        <v>8</v>
      </c>
      <c r="J17">
        <f>AVERAGE(Table2[[#This Row],[Frame 1]:[Frame 20]])</f>
        <v>19.903333333333332</v>
      </c>
      <c r="K17">
        <f>Table2[[#This Row],[Averge Before Gain Adjustment]]+Table2[[#This Row],[Decibel Gain Adjustment]]</f>
        <v>27.903333333333332</v>
      </c>
      <c r="L17">
        <f>_xlfn.STDEV.P(Table2[[#This Row],[Frame 1]:[Frame 20]])</f>
        <v>0.36768041678730878</v>
      </c>
      <c r="M17">
        <v>19.989999999999998</v>
      </c>
      <c r="N17">
        <v>20.46</v>
      </c>
      <c r="O17">
        <v>20.11</v>
      </c>
      <c r="P17">
        <v>19.68</v>
      </c>
      <c r="Q17">
        <v>19.91</v>
      </c>
      <c r="R17">
        <v>19.27</v>
      </c>
    </row>
    <row r="18" spans="1:19" x14ac:dyDescent="0.5">
      <c r="A18" t="s">
        <v>74</v>
      </c>
      <c r="B18" t="str">
        <f>SUBSTITUTE(TEXT(Table2[[#This Row],[PSI]],"0.0"),".","")&amp;"_"&amp;TEXT(Table2[[#This Row],[Atten]],"0")</f>
        <v>04_47</v>
      </c>
      <c r="C18" t="s">
        <v>54</v>
      </c>
      <c r="D18">
        <v>0.4</v>
      </c>
      <c r="E18">
        <f>Table2[[#This Row],[PSI]]*50</f>
        <v>20</v>
      </c>
      <c r="F18">
        <v>47</v>
      </c>
      <c r="G18" s="1" cm="1">
        <f t="array" ref="G18">_xlfn.XLOOKUP(Table2[[#This Row],[Atten]],VoltageToPressureConversion[[#All],[Atten]],VoltageToPressureConversion[[#All],[kPa]])</f>
        <v>521.49989473684207</v>
      </c>
      <c r="H18">
        <v>14</v>
      </c>
      <c r="I18">
        <v>8</v>
      </c>
      <c r="J18">
        <f>AVERAGE(Table2[[#This Row],[Frame 1]:[Frame 20]])</f>
        <v>28.656666666666666</v>
      </c>
      <c r="K18">
        <f>Table2[[#This Row],[Averge Before Gain Adjustment]]+Table2[[#This Row],[Decibel Gain Adjustment]]</f>
        <v>36.656666666666666</v>
      </c>
      <c r="L18">
        <f>_xlfn.STDEV.P(Table2[[#This Row],[Frame 1]:[Frame 20]])</f>
        <v>0.45301459382918591</v>
      </c>
      <c r="M18">
        <v>28.98</v>
      </c>
      <c r="N18">
        <v>28.82</v>
      </c>
      <c r="O18">
        <v>28.43</v>
      </c>
      <c r="P18">
        <v>28.52</v>
      </c>
      <c r="Q18">
        <v>27.88</v>
      </c>
      <c r="R18">
        <v>29.31</v>
      </c>
    </row>
    <row r="19" spans="1:19" x14ac:dyDescent="0.5">
      <c r="A19" t="s">
        <v>75</v>
      </c>
      <c r="B19" t="str">
        <f>SUBSTITUTE(TEXT(Table2[[#This Row],[PSI]],"0.0"),".","")&amp;"_"&amp;TEXT(Table2[[#This Row],[Atten]],"0")</f>
        <v>04_45</v>
      </c>
      <c r="C19" t="s">
        <v>54</v>
      </c>
      <c r="D19">
        <v>0.4</v>
      </c>
      <c r="E19">
        <f>Table2[[#This Row],[PSI]]*50</f>
        <v>20</v>
      </c>
      <c r="F19">
        <v>45</v>
      </c>
      <c r="G19" s="1" cm="1">
        <f t="array" ref="G19">_xlfn.XLOOKUP(Table2[[#This Row],[Atten]],VoltageToPressureConversion[[#All],[Atten]],VoltageToPressureConversion[[#All],[kPa]])</f>
        <v>586.33578947368426</v>
      </c>
      <c r="H19">
        <v>16</v>
      </c>
      <c r="I19">
        <v>8</v>
      </c>
      <c r="J19">
        <f>AVERAGE(Table2[[#This Row],[Frame 1]:[Frame 20]])</f>
        <v>34.023333333333333</v>
      </c>
      <c r="K19">
        <f>Table2[[#This Row],[Averge Before Gain Adjustment]]+Table2[[#This Row],[Decibel Gain Adjustment]]</f>
        <v>42.023333333333333</v>
      </c>
      <c r="L19">
        <f>_xlfn.STDEV.P(Table2[[#This Row],[Frame 1]:[Frame 20]])</f>
        <v>0.34974593953643296</v>
      </c>
      <c r="M19">
        <v>34.61</v>
      </c>
      <c r="N19">
        <v>33.5</v>
      </c>
      <c r="O19">
        <v>34.06</v>
      </c>
      <c r="P19">
        <v>33.79</v>
      </c>
      <c r="Q19">
        <v>33.93</v>
      </c>
      <c r="R19">
        <v>34.25</v>
      </c>
    </row>
    <row r="20" spans="1:19" x14ac:dyDescent="0.5">
      <c r="A20" t="s">
        <v>76</v>
      </c>
      <c r="B20" t="str">
        <f>SUBSTITUTE(TEXT(Table2[[#This Row],[PSI]],"0.0"),".","")&amp;"_"&amp;TEXT(Table2[[#This Row],[Atten]],"0")</f>
        <v>04_43</v>
      </c>
      <c r="C20" t="s">
        <v>54</v>
      </c>
      <c r="D20">
        <v>0.4</v>
      </c>
      <c r="E20">
        <f>Table2[[#This Row],[PSI]]*50</f>
        <v>20</v>
      </c>
      <c r="F20">
        <v>43</v>
      </c>
      <c r="G20" s="1" cm="1">
        <f t="array" ref="G20">_xlfn.XLOOKUP(Table2[[#This Row],[Atten]],VoltageToPressureConversion[[#All],[Atten]],VoltageToPressureConversion[[#All],[kPa]])</f>
        <v>637.71905263157896</v>
      </c>
      <c r="H20">
        <v>18</v>
      </c>
      <c r="I20">
        <v>8</v>
      </c>
      <c r="J20">
        <f>AVERAGE(Table2[[#This Row],[Frame 1]:[Frame 20]])</f>
        <v>37.664999999999999</v>
      </c>
      <c r="K20">
        <f>Table2[[#This Row],[Averge Before Gain Adjustment]]+Table2[[#This Row],[Decibel Gain Adjustment]]</f>
        <v>45.664999999999999</v>
      </c>
      <c r="L20">
        <f>_xlfn.STDEV.P(Table2[[#This Row],[Frame 1]:[Frame 20]])</f>
        <v>0.49005952019457261</v>
      </c>
      <c r="M20">
        <v>38.21</v>
      </c>
      <c r="N20">
        <v>37.68</v>
      </c>
      <c r="O20">
        <v>37.85</v>
      </c>
      <c r="P20">
        <v>38.200000000000003</v>
      </c>
      <c r="Q20">
        <v>36.979999999999997</v>
      </c>
      <c r="R20">
        <v>37.07</v>
      </c>
    </row>
    <row r="21" spans="1:19" x14ac:dyDescent="0.5">
      <c r="A21" t="s">
        <v>77</v>
      </c>
      <c r="B21" t="str">
        <f>SUBSTITUTE(TEXT(Table2[[#This Row],[PSI]],"0.0"),".","")&amp;"_"&amp;TEXT(Table2[[#This Row],[Atten]],"0")</f>
        <v>04_41</v>
      </c>
      <c r="C21" t="s">
        <v>54</v>
      </c>
      <c r="D21">
        <v>0.4</v>
      </c>
      <c r="E21">
        <f>Table2[[#This Row],[PSI]]*50</f>
        <v>20</v>
      </c>
      <c r="F21">
        <v>41</v>
      </c>
      <c r="G21" s="1" cm="1">
        <f t="array" ref="G21">_xlfn.XLOOKUP(Table2[[#This Row],[Atten]],VoltageToPressureConversion[[#All],[Atten]],VoltageToPressureConversion[[#All],[kPa]])</f>
        <v>705.05297368421054</v>
      </c>
      <c r="H21">
        <v>20</v>
      </c>
      <c r="I21">
        <v>8</v>
      </c>
      <c r="J21">
        <f>AVERAGE(Table2[[#This Row],[Frame 1]:[Frame 20]])</f>
        <v>38.938571428571429</v>
      </c>
      <c r="K21">
        <f>Table2[[#This Row],[Averge Before Gain Adjustment]]+Table2[[#This Row],[Decibel Gain Adjustment]]</f>
        <v>46.938571428571429</v>
      </c>
      <c r="L21">
        <f>_xlfn.STDEV.P(Table2[[#This Row],[Frame 1]:[Frame 20]])</f>
        <v>0.40179698396893254</v>
      </c>
      <c r="M21">
        <v>39.61</v>
      </c>
      <c r="N21">
        <v>39.29</v>
      </c>
      <c r="O21">
        <v>39.19</v>
      </c>
      <c r="P21">
        <v>38.72</v>
      </c>
      <c r="Q21">
        <v>38.79</v>
      </c>
      <c r="R21">
        <v>38.409999999999997</v>
      </c>
      <c r="S21">
        <v>38.56</v>
      </c>
    </row>
    <row r="22" spans="1:19" x14ac:dyDescent="0.5">
      <c r="B22" t="str">
        <f>SUBSTITUTE(TEXT(Table2[[#This Row],[PSI]],"0.0"),".","")&amp;"_"&amp;TEXT(Table2[[#This Row],[Atten]],"0")</f>
        <v>00_41</v>
      </c>
      <c r="C22" t="s">
        <v>54</v>
      </c>
      <c r="D22">
        <v>0</v>
      </c>
      <c r="E22">
        <f>Table2[[#This Row],[PSI]]*50</f>
        <v>0</v>
      </c>
      <c r="F22">
        <v>41</v>
      </c>
      <c r="G22" s="1"/>
      <c r="J22">
        <f>AVERAGE(Table2[[#This Row],[Frame 1]:[Frame 20]])</f>
        <v>38.448333333333331</v>
      </c>
      <c r="K22">
        <f>Table2[[#This Row],[Averge Before Gain Adjustment]]+Table2[[#This Row],[Decibel Gain Adjustment]]</f>
        <v>38.448333333333331</v>
      </c>
      <c r="L22">
        <f>_xlfn.STDEV.P(Table2[[#This Row],[Frame 1]:[Frame 20]])</f>
        <v>0.46531052952720486</v>
      </c>
      <c r="M22">
        <v>39.25</v>
      </c>
      <c r="N22">
        <v>38.200000000000003</v>
      </c>
      <c r="O22">
        <v>38.51</v>
      </c>
      <c r="P22">
        <v>38.409999999999997</v>
      </c>
      <c r="Q22">
        <v>38.619999999999997</v>
      </c>
      <c r="R22">
        <v>37.700000000000003</v>
      </c>
    </row>
  </sheetData>
  <phoneticPr fontId="1" type="noConversion"/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61F0-0683-40E3-9688-3C4349AF7D86}">
  <dimension ref="B1:Y74"/>
  <sheetViews>
    <sheetView topLeftCell="O29" zoomScaleNormal="100" workbookViewId="0">
      <selection activeCell="C29" sqref="C29"/>
    </sheetView>
  </sheetViews>
  <sheetFormatPr defaultRowHeight="14.35" x14ac:dyDescent="0.5"/>
  <sheetData>
    <row r="1" spans="2:25" x14ac:dyDescent="0.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25" x14ac:dyDescent="0.5">
      <c r="B2" t="s">
        <v>1</v>
      </c>
      <c r="C2">
        <v>74</v>
      </c>
      <c r="D2">
        <v>69</v>
      </c>
      <c r="E2">
        <v>62</v>
      </c>
      <c r="F2">
        <v>57</v>
      </c>
      <c r="G2">
        <v>53</v>
      </c>
      <c r="H2">
        <v>50</v>
      </c>
      <c r="I2">
        <v>47</v>
      </c>
      <c r="J2">
        <v>45</v>
      </c>
      <c r="K2">
        <v>43</v>
      </c>
      <c r="L2">
        <v>41</v>
      </c>
    </row>
    <row r="3" spans="2:25" x14ac:dyDescent="0.5">
      <c r="B3" t="s">
        <v>2</v>
      </c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>
        <v>73</v>
      </c>
      <c r="Q3">
        <v>120</v>
      </c>
      <c r="R3">
        <v>164</v>
      </c>
      <c r="S3">
        <v>256</v>
      </c>
      <c r="T3">
        <v>353</v>
      </c>
      <c r="U3">
        <v>427</v>
      </c>
      <c r="V3">
        <v>522</v>
      </c>
      <c r="W3">
        <v>586</v>
      </c>
      <c r="X3">
        <v>638</v>
      </c>
      <c r="Y3">
        <v>705</v>
      </c>
    </row>
    <row r="4" spans="2:25" x14ac:dyDescent="0.5">
      <c r="B4" t="s">
        <v>3</v>
      </c>
      <c r="C4">
        <v>3</v>
      </c>
      <c r="D4">
        <v>4</v>
      </c>
      <c r="E4">
        <v>6</v>
      </c>
      <c r="F4">
        <v>8</v>
      </c>
      <c r="G4">
        <v>10</v>
      </c>
      <c r="H4">
        <v>12</v>
      </c>
      <c r="I4">
        <v>14</v>
      </c>
      <c r="J4">
        <v>16</v>
      </c>
      <c r="K4">
        <v>18</v>
      </c>
      <c r="L4">
        <v>20</v>
      </c>
      <c r="O4" t="s">
        <v>8</v>
      </c>
      <c r="P4">
        <f>C13</f>
        <v>1.2966666666666666</v>
      </c>
      <c r="Q4">
        <f t="shared" ref="Q4:Y4" si="0">D13</f>
        <v>7.0350000000000001</v>
      </c>
      <c r="R4">
        <f t="shared" si="0"/>
        <v>14.504285714285714</v>
      </c>
      <c r="S4">
        <f t="shared" si="0"/>
        <v>14.638333333333334</v>
      </c>
      <c r="T4">
        <f t="shared" si="0"/>
        <v>16.063333333333333</v>
      </c>
      <c r="U4">
        <f t="shared" si="0"/>
        <v>19.648333333333333</v>
      </c>
      <c r="V4">
        <f t="shared" si="0"/>
        <v>27.665000000000003</v>
      </c>
      <c r="W4">
        <f t="shared" si="0"/>
        <v>32.986666666666665</v>
      </c>
      <c r="X4">
        <f t="shared" si="0"/>
        <v>34.933333333333337</v>
      </c>
      <c r="Y4">
        <f t="shared" si="0"/>
        <v>37.010000000000005</v>
      </c>
    </row>
    <row r="5" spans="2:25" x14ac:dyDescent="0.5">
      <c r="C5">
        <v>2.61</v>
      </c>
      <c r="D5">
        <v>10.4</v>
      </c>
      <c r="E5">
        <v>15.01</v>
      </c>
      <c r="F5">
        <v>16.260000000000002</v>
      </c>
      <c r="G5">
        <v>17.37</v>
      </c>
      <c r="H5">
        <v>13.98</v>
      </c>
      <c r="I5">
        <v>21.27</v>
      </c>
      <c r="J5">
        <v>25.58</v>
      </c>
      <c r="K5">
        <v>28.54</v>
      </c>
      <c r="L5">
        <v>30.71</v>
      </c>
      <c r="O5" t="s">
        <v>9</v>
      </c>
      <c r="P5">
        <f>C28</f>
        <v>3.2833333333333332</v>
      </c>
      <c r="Q5">
        <f t="shared" ref="Q5:Y5" si="1">D28</f>
        <v>14.281666666666666</v>
      </c>
      <c r="R5">
        <f t="shared" si="1"/>
        <v>20.135000000000002</v>
      </c>
      <c r="S5">
        <f t="shared" si="1"/>
        <v>20.734285714285711</v>
      </c>
      <c r="T5">
        <f t="shared" si="1"/>
        <v>20.902000000000001</v>
      </c>
      <c r="U5">
        <f t="shared" si="1"/>
        <v>23.021999999999998</v>
      </c>
      <c r="V5">
        <f t="shared" si="1"/>
        <v>29.995999999999999</v>
      </c>
      <c r="W5">
        <f t="shared" si="1"/>
        <v>34.441666666666663</v>
      </c>
      <c r="X5">
        <f t="shared" si="1"/>
        <v>36.708333333333329</v>
      </c>
      <c r="Y5">
        <f t="shared" si="1"/>
        <v>40.061428571428571</v>
      </c>
    </row>
    <row r="6" spans="2:25" x14ac:dyDescent="0.5">
      <c r="C6">
        <v>1.1000000000000001</v>
      </c>
      <c r="D6">
        <v>10.119999999999999</v>
      </c>
      <c r="E6">
        <v>12.91</v>
      </c>
      <c r="F6">
        <v>13.93</v>
      </c>
      <c r="G6">
        <v>15.4</v>
      </c>
      <c r="H6">
        <v>11.56</v>
      </c>
      <c r="I6">
        <v>17.940000000000001</v>
      </c>
      <c r="J6">
        <v>22.73</v>
      </c>
      <c r="K6">
        <v>25.33</v>
      </c>
      <c r="L6">
        <v>29.01</v>
      </c>
      <c r="O6" t="s">
        <v>10</v>
      </c>
      <c r="P6">
        <f>C43</f>
        <v>9.6357142857142861</v>
      </c>
      <c r="Q6">
        <f t="shared" ref="Q6:Y6" si="2">D43</f>
        <v>21.548333333333336</v>
      </c>
      <c r="R6">
        <f t="shared" si="2"/>
        <v>26.096666666666668</v>
      </c>
      <c r="S6">
        <f t="shared" si="2"/>
        <v>24.96166666666667</v>
      </c>
      <c r="T6">
        <f t="shared" si="2"/>
        <v>25.654000000000003</v>
      </c>
      <c r="U6">
        <f t="shared" si="2"/>
        <v>25.823333333333334</v>
      </c>
      <c r="V6">
        <f t="shared" si="2"/>
        <v>30.08666666666667</v>
      </c>
      <c r="W6">
        <f t="shared" si="2"/>
        <v>33.525000000000006</v>
      </c>
      <c r="X6">
        <f t="shared" si="2"/>
        <v>37.265000000000001</v>
      </c>
      <c r="Y6">
        <f t="shared" si="2"/>
        <v>39.099999999999994</v>
      </c>
    </row>
    <row r="7" spans="2:25" x14ac:dyDescent="0.5">
      <c r="C7">
        <v>1.06</v>
      </c>
      <c r="D7">
        <v>5.27</v>
      </c>
      <c r="E7">
        <v>14.93</v>
      </c>
      <c r="F7">
        <v>13.53</v>
      </c>
      <c r="G7">
        <v>15.84</v>
      </c>
      <c r="H7">
        <v>10.050000000000001</v>
      </c>
      <c r="I7">
        <v>19.57</v>
      </c>
      <c r="J7">
        <v>25.36</v>
      </c>
      <c r="K7">
        <v>26.49</v>
      </c>
      <c r="L7">
        <v>27</v>
      </c>
      <c r="O7" t="s">
        <v>11</v>
      </c>
      <c r="P7">
        <f>C58</f>
        <v>12.658333333333333</v>
      </c>
      <c r="Q7">
        <f t="shared" ref="Q7:Y7" si="3">D58</f>
        <v>22.043333333333333</v>
      </c>
      <c r="R7">
        <f t="shared" si="3"/>
        <v>26.345000000000002</v>
      </c>
      <c r="S7">
        <f t="shared" si="3"/>
        <v>26.028333333333336</v>
      </c>
      <c r="T7">
        <f t="shared" si="3"/>
        <v>24.781666666666666</v>
      </c>
      <c r="U7">
        <f t="shared" si="3"/>
        <v>25.408333333333335</v>
      </c>
      <c r="V7">
        <f t="shared" si="3"/>
        <v>28.816666666666666</v>
      </c>
      <c r="W7">
        <f t="shared" si="3"/>
        <v>32.858333333333334</v>
      </c>
      <c r="X7">
        <f t="shared" si="3"/>
        <v>35.736000000000004</v>
      </c>
      <c r="Y7">
        <f t="shared" si="3"/>
        <v>39.105000000000004</v>
      </c>
    </row>
    <row r="8" spans="2:25" x14ac:dyDescent="0.5">
      <c r="C8">
        <v>0.93</v>
      </c>
      <c r="D8">
        <v>5.32</v>
      </c>
      <c r="E8">
        <v>14.19</v>
      </c>
      <c r="F8">
        <v>14.11</v>
      </c>
      <c r="G8">
        <v>15.71</v>
      </c>
      <c r="H8">
        <v>12.07</v>
      </c>
      <c r="I8">
        <v>19.14</v>
      </c>
      <c r="J8">
        <v>26.28</v>
      </c>
      <c r="K8">
        <v>28.32</v>
      </c>
      <c r="L8">
        <v>29.6</v>
      </c>
      <c r="O8" t="s">
        <v>12</v>
      </c>
      <c r="P8">
        <f>C73</f>
        <v>14.213333333333333</v>
      </c>
      <c r="Q8">
        <f t="shared" ref="Q8:Y8" si="4">D73</f>
        <v>22.296666666666667</v>
      </c>
      <c r="R8">
        <f t="shared" si="4"/>
        <v>26.086666666666662</v>
      </c>
      <c r="S8">
        <f t="shared" si="4"/>
        <v>25.221666666666668</v>
      </c>
      <c r="T8">
        <f t="shared" si="4"/>
        <v>24.901666666666667</v>
      </c>
      <c r="U8">
        <f t="shared" si="4"/>
        <v>24.583333333333332</v>
      </c>
      <c r="V8">
        <f t="shared" si="4"/>
        <v>27.993333333333336</v>
      </c>
      <c r="W8">
        <f t="shared" si="4"/>
        <v>33.773333333333326</v>
      </c>
      <c r="X8">
        <f t="shared" si="4"/>
        <v>37.555000000000007</v>
      </c>
      <c r="Y8">
        <f t="shared" si="4"/>
        <v>39.961666666666673</v>
      </c>
    </row>
    <row r="9" spans="2:25" x14ac:dyDescent="0.5">
      <c r="C9">
        <v>0.98</v>
      </c>
      <c r="D9">
        <v>5.6</v>
      </c>
      <c r="E9">
        <v>14</v>
      </c>
      <c r="F9">
        <v>14.77</v>
      </c>
      <c r="G9">
        <v>16.11</v>
      </c>
      <c r="H9">
        <v>11.69</v>
      </c>
      <c r="I9">
        <v>19.57</v>
      </c>
      <c r="J9">
        <v>23.69</v>
      </c>
      <c r="K9">
        <v>27.16</v>
      </c>
      <c r="L9">
        <v>29.06</v>
      </c>
    </row>
    <row r="10" spans="2:25" x14ac:dyDescent="0.5">
      <c r="C10">
        <v>1.1000000000000001</v>
      </c>
      <c r="D10">
        <v>5.5</v>
      </c>
      <c r="E10">
        <v>14.98</v>
      </c>
      <c r="F10">
        <v>15.23</v>
      </c>
      <c r="G10">
        <v>15.95</v>
      </c>
      <c r="H10">
        <v>10.54</v>
      </c>
      <c r="I10">
        <v>20.5</v>
      </c>
      <c r="J10">
        <v>26.28</v>
      </c>
      <c r="K10">
        <v>25.76</v>
      </c>
      <c r="L10">
        <v>28.68</v>
      </c>
    </row>
    <row r="11" spans="2:25" x14ac:dyDescent="0.5">
      <c r="D11">
        <v>6.48</v>
      </c>
      <c r="E11">
        <v>15.51</v>
      </c>
      <c r="P11">
        <v>73</v>
      </c>
      <c r="Q11">
        <v>120</v>
      </c>
      <c r="R11">
        <v>164</v>
      </c>
      <c r="S11">
        <v>256</v>
      </c>
      <c r="T11">
        <v>353</v>
      </c>
      <c r="U11">
        <v>427</v>
      </c>
      <c r="V11">
        <v>522</v>
      </c>
      <c r="W11">
        <v>586</v>
      </c>
      <c r="X11">
        <v>638</v>
      </c>
      <c r="Y11">
        <v>705</v>
      </c>
    </row>
    <row r="12" spans="2:25" x14ac:dyDescent="0.5">
      <c r="C12">
        <f>AVERAGE(C5:C10)</f>
        <v>1.2966666666666666</v>
      </c>
      <c r="D12">
        <f>AVERAGE(D5:D10)</f>
        <v>7.0350000000000001</v>
      </c>
      <c r="E12">
        <f>AVERAGE(E5:E11)</f>
        <v>14.504285714285714</v>
      </c>
      <c r="F12">
        <f t="shared" ref="F12:L12" si="5">AVERAGE(F5:F10)</f>
        <v>14.638333333333334</v>
      </c>
      <c r="G12">
        <f t="shared" si="5"/>
        <v>16.063333333333333</v>
      </c>
      <c r="H12">
        <f t="shared" si="5"/>
        <v>11.648333333333333</v>
      </c>
      <c r="I12">
        <f t="shared" si="5"/>
        <v>19.665000000000003</v>
      </c>
      <c r="J12">
        <f t="shared" si="5"/>
        <v>24.986666666666668</v>
      </c>
      <c r="K12">
        <f t="shared" si="5"/>
        <v>26.933333333333334</v>
      </c>
      <c r="L12">
        <f t="shared" si="5"/>
        <v>29.01</v>
      </c>
      <c r="O12" t="s">
        <v>8</v>
      </c>
      <c r="P12">
        <f>P4-$P$4</f>
        <v>0</v>
      </c>
      <c r="Q12">
        <f>Q4-$Q$4</f>
        <v>0</v>
      </c>
      <c r="R12">
        <f>R4-$R$4</f>
        <v>0</v>
      </c>
      <c r="S12">
        <f>S4-$S$4</f>
        <v>0</v>
      </c>
      <c r="T12">
        <f>T4-$T$4</f>
        <v>0</v>
      </c>
      <c r="U12">
        <f>U4-$U$4</f>
        <v>0</v>
      </c>
      <c r="V12">
        <f>V4-$V$4</f>
        <v>0</v>
      </c>
      <c r="W12">
        <f>W4-$W$4</f>
        <v>0</v>
      </c>
      <c r="X12">
        <f>X4-$X$4</f>
        <v>0</v>
      </c>
      <c r="Y12">
        <f>Y4-$Y$4</f>
        <v>0</v>
      </c>
    </row>
    <row r="13" spans="2:25" x14ac:dyDescent="0.5">
      <c r="C13">
        <f>C12</f>
        <v>1.2966666666666666</v>
      </c>
      <c r="D13">
        <f t="shared" ref="D13:G13" si="6">D12</f>
        <v>7.0350000000000001</v>
      </c>
      <c r="E13">
        <f t="shared" si="6"/>
        <v>14.504285714285714</v>
      </c>
      <c r="F13">
        <f t="shared" si="6"/>
        <v>14.638333333333334</v>
      </c>
      <c r="G13">
        <f t="shared" si="6"/>
        <v>16.063333333333333</v>
      </c>
      <c r="H13">
        <f>H12+8</f>
        <v>19.648333333333333</v>
      </c>
      <c r="I13">
        <f t="shared" ref="I13:L13" si="7">I12+8</f>
        <v>27.665000000000003</v>
      </c>
      <c r="J13">
        <f t="shared" si="7"/>
        <v>32.986666666666665</v>
      </c>
      <c r="K13">
        <f t="shared" si="7"/>
        <v>34.933333333333337</v>
      </c>
      <c r="L13">
        <f t="shared" si="7"/>
        <v>37.010000000000005</v>
      </c>
      <c r="O13" t="s">
        <v>9</v>
      </c>
      <c r="P13">
        <f t="shared" ref="P13:P16" si="8">P5-$P$4</f>
        <v>1.9866666666666666</v>
      </c>
      <c r="Q13">
        <f t="shared" ref="Q13:Q16" si="9">Q5-$Q$4</f>
        <v>7.2466666666666661</v>
      </c>
      <c r="R13">
        <f t="shared" ref="R13:R16" si="10">R5-$R$4</f>
        <v>5.6307142857142871</v>
      </c>
      <c r="S13">
        <f t="shared" ref="S13:S16" si="11">S5-$S$4</f>
        <v>6.0959523809523777</v>
      </c>
      <c r="T13">
        <f t="shared" ref="T13:T16" si="12">T5-$T$4</f>
        <v>4.8386666666666684</v>
      </c>
      <c r="U13">
        <f t="shared" ref="U13:U16" si="13">U5-$U$4</f>
        <v>3.373666666666665</v>
      </c>
      <c r="V13">
        <f t="shared" ref="V13:V16" si="14">V5-$V$4</f>
        <v>2.330999999999996</v>
      </c>
      <c r="W13">
        <f t="shared" ref="W13:W16" si="15">W5-$W$4</f>
        <v>1.4549999999999983</v>
      </c>
      <c r="X13">
        <f t="shared" ref="X13:X16" si="16">X5-$X$4</f>
        <v>1.7749999999999915</v>
      </c>
      <c r="Y13">
        <f t="shared" ref="Y13:Y16" si="17">Y5-$Y$4</f>
        <v>3.0514285714285663</v>
      </c>
    </row>
    <row r="14" spans="2:25" x14ac:dyDescent="0.5">
      <c r="C14">
        <f t="shared" ref="C14:L14" si="18">_xlfn.STDEV.P(C5:C11)</f>
        <v>0.59061173559473301</v>
      </c>
      <c r="D14">
        <f t="shared" si="18"/>
        <v>2.123890346529604</v>
      </c>
      <c r="E14">
        <f t="shared" si="18"/>
        <v>0.80795786917842871</v>
      </c>
      <c r="F14">
        <f t="shared" si="18"/>
        <v>0.91346258209567077</v>
      </c>
      <c r="G14">
        <f t="shared" si="18"/>
        <v>0.62411715424447556</v>
      </c>
      <c r="H14">
        <f t="shared" si="18"/>
        <v>1.2521370620751548</v>
      </c>
      <c r="I14">
        <f t="shared" si="18"/>
        <v>1.0442341691402359</v>
      </c>
      <c r="J14">
        <f t="shared" si="18"/>
        <v>1.3298329051258866</v>
      </c>
      <c r="K14">
        <f t="shared" si="18"/>
        <v>1.2041271619817493</v>
      </c>
      <c r="L14">
        <f t="shared" si="18"/>
        <v>1.1097747519204069</v>
      </c>
      <c r="O14" t="s">
        <v>10</v>
      </c>
      <c r="P14">
        <f t="shared" si="8"/>
        <v>8.3390476190476193</v>
      </c>
      <c r="Q14">
        <f t="shared" si="9"/>
        <v>14.513333333333335</v>
      </c>
      <c r="R14">
        <f t="shared" si="10"/>
        <v>11.592380952380953</v>
      </c>
      <c r="S14">
        <f t="shared" si="11"/>
        <v>10.323333333333336</v>
      </c>
      <c r="T14">
        <f t="shared" si="12"/>
        <v>9.5906666666666709</v>
      </c>
      <c r="U14">
        <f t="shared" si="13"/>
        <v>6.1750000000000007</v>
      </c>
      <c r="V14">
        <f t="shared" si="14"/>
        <v>2.4216666666666669</v>
      </c>
      <c r="W14">
        <f t="shared" si="15"/>
        <v>0.5383333333333411</v>
      </c>
      <c r="X14">
        <f t="shared" si="16"/>
        <v>2.3316666666666634</v>
      </c>
      <c r="Y14">
        <f t="shared" si="17"/>
        <v>2.0899999999999892</v>
      </c>
    </row>
    <row r="15" spans="2:25" x14ac:dyDescent="0.5">
      <c r="O15" t="s">
        <v>11</v>
      </c>
      <c r="P15">
        <f t="shared" si="8"/>
        <v>11.361666666666666</v>
      </c>
      <c r="Q15">
        <f t="shared" si="9"/>
        <v>15.008333333333333</v>
      </c>
      <c r="R15">
        <f t="shared" si="10"/>
        <v>11.840714285714288</v>
      </c>
      <c r="S15">
        <f t="shared" si="11"/>
        <v>11.390000000000002</v>
      </c>
      <c r="T15">
        <f t="shared" si="12"/>
        <v>8.7183333333333337</v>
      </c>
      <c r="U15">
        <f t="shared" si="13"/>
        <v>5.7600000000000016</v>
      </c>
      <c r="V15">
        <f t="shared" si="14"/>
        <v>1.1516666666666637</v>
      </c>
      <c r="W15">
        <f t="shared" si="15"/>
        <v>-0.1283333333333303</v>
      </c>
      <c r="X15">
        <f t="shared" si="16"/>
        <v>0.80266666666666708</v>
      </c>
      <c r="Y15">
        <f t="shared" si="17"/>
        <v>2.0949999999999989</v>
      </c>
    </row>
    <row r="16" spans="2:25" x14ac:dyDescent="0.5">
      <c r="B16" s="5" t="s">
        <v>4</v>
      </c>
      <c r="C16" s="5"/>
      <c r="D16" s="5"/>
      <c r="E16" s="5"/>
      <c r="F16" s="5"/>
      <c r="G16" s="5"/>
      <c r="H16" s="5"/>
      <c r="I16" s="5"/>
      <c r="J16" s="5"/>
      <c r="K16" s="5"/>
      <c r="L16" s="5"/>
      <c r="O16" t="s">
        <v>12</v>
      </c>
      <c r="P16">
        <f t="shared" si="8"/>
        <v>12.916666666666666</v>
      </c>
      <c r="Q16">
        <f t="shared" si="9"/>
        <v>15.261666666666667</v>
      </c>
      <c r="R16">
        <f t="shared" si="10"/>
        <v>11.582380952380948</v>
      </c>
      <c r="S16">
        <f t="shared" si="11"/>
        <v>10.583333333333334</v>
      </c>
      <c r="T16">
        <f t="shared" si="12"/>
        <v>8.8383333333333347</v>
      </c>
      <c r="U16">
        <f t="shared" si="13"/>
        <v>4.9349999999999987</v>
      </c>
      <c r="V16">
        <f t="shared" si="14"/>
        <v>0.32833333333333314</v>
      </c>
      <c r="W16">
        <f t="shared" si="15"/>
        <v>0.78666666666666174</v>
      </c>
      <c r="X16">
        <f t="shared" si="16"/>
        <v>2.6216666666666697</v>
      </c>
      <c r="Y16">
        <f t="shared" si="17"/>
        <v>2.951666666666668</v>
      </c>
    </row>
    <row r="17" spans="2:12" x14ac:dyDescent="0.5">
      <c r="B17" t="s">
        <v>1</v>
      </c>
      <c r="C17">
        <v>74</v>
      </c>
      <c r="D17">
        <v>69</v>
      </c>
      <c r="E17">
        <v>62</v>
      </c>
      <c r="F17">
        <v>57</v>
      </c>
      <c r="G17">
        <v>53</v>
      </c>
      <c r="H17">
        <v>50</v>
      </c>
      <c r="I17">
        <v>47</v>
      </c>
      <c r="J17">
        <v>45</v>
      </c>
      <c r="K17">
        <v>43</v>
      </c>
      <c r="L17">
        <v>41</v>
      </c>
    </row>
    <row r="18" spans="2:12" x14ac:dyDescent="0.5">
      <c r="B18" t="s">
        <v>2</v>
      </c>
      <c r="C18">
        <v>73</v>
      </c>
      <c r="D18">
        <v>120</v>
      </c>
      <c r="E18">
        <v>164</v>
      </c>
      <c r="F18">
        <v>256</v>
      </c>
      <c r="G18">
        <v>353</v>
      </c>
      <c r="H18">
        <v>427</v>
      </c>
      <c r="I18">
        <v>522</v>
      </c>
      <c r="J18">
        <v>586</v>
      </c>
      <c r="K18">
        <v>638</v>
      </c>
      <c r="L18">
        <v>705</v>
      </c>
    </row>
    <row r="19" spans="2:12" x14ac:dyDescent="0.5">
      <c r="B19" t="s">
        <v>3</v>
      </c>
      <c r="C19">
        <v>3</v>
      </c>
      <c r="D19">
        <v>4</v>
      </c>
      <c r="E19">
        <v>6</v>
      </c>
      <c r="F19">
        <v>8</v>
      </c>
      <c r="G19">
        <v>10</v>
      </c>
      <c r="H19">
        <v>12</v>
      </c>
      <c r="I19">
        <v>14</v>
      </c>
      <c r="J19">
        <v>16</v>
      </c>
      <c r="K19">
        <v>18</v>
      </c>
      <c r="L19">
        <v>20</v>
      </c>
    </row>
    <row r="20" spans="2:12" x14ac:dyDescent="0.5">
      <c r="C20">
        <v>5.53</v>
      </c>
      <c r="D20">
        <v>15.67</v>
      </c>
      <c r="E20">
        <v>21.58</v>
      </c>
      <c r="F20">
        <v>21.13</v>
      </c>
      <c r="G20">
        <v>21.02</v>
      </c>
      <c r="H20">
        <v>15.88</v>
      </c>
      <c r="I20">
        <v>21.4</v>
      </c>
      <c r="J20">
        <v>26.01</v>
      </c>
      <c r="K20">
        <v>30.64</v>
      </c>
      <c r="L20">
        <v>33.4</v>
      </c>
    </row>
    <row r="21" spans="2:12" x14ac:dyDescent="0.5">
      <c r="C21">
        <v>2.69</v>
      </c>
      <c r="D21">
        <v>12.76</v>
      </c>
      <c r="E21">
        <v>20.440000000000001</v>
      </c>
      <c r="F21">
        <v>20.78</v>
      </c>
      <c r="G21">
        <v>20.76</v>
      </c>
      <c r="H21">
        <v>14.37</v>
      </c>
      <c r="I21">
        <v>23.03</v>
      </c>
      <c r="J21">
        <v>26.64</v>
      </c>
      <c r="K21">
        <v>28.3</v>
      </c>
      <c r="L21">
        <v>29.38</v>
      </c>
    </row>
    <row r="22" spans="2:12" x14ac:dyDescent="0.5">
      <c r="C22">
        <v>3.01</v>
      </c>
      <c r="D22">
        <v>14.04</v>
      </c>
      <c r="E22">
        <v>19.739999999999998</v>
      </c>
      <c r="F22">
        <v>20.99</v>
      </c>
      <c r="G22">
        <v>20.95</v>
      </c>
      <c r="H22">
        <v>15.33</v>
      </c>
      <c r="I22">
        <v>21.17</v>
      </c>
      <c r="J22">
        <v>25.78</v>
      </c>
      <c r="K22">
        <v>27.7</v>
      </c>
      <c r="L22">
        <v>33.86</v>
      </c>
    </row>
    <row r="23" spans="2:12" x14ac:dyDescent="0.5">
      <c r="C23">
        <v>3.09</v>
      </c>
      <c r="D23">
        <v>14.21</v>
      </c>
      <c r="E23">
        <v>19.78</v>
      </c>
      <c r="F23">
        <v>20.53</v>
      </c>
      <c r="G23">
        <v>20.83</v>
      </c>
      <c r="H23">
        <v>14.89</v>
      </c>
      <c r="I23">
        <v>22.52</v>
      </c>
      <c r="J23">
        <v>25.82</v>
      </c>
      <c r="K23">
        <v>27.68</v>
      </c>
      <c r="L23">
        <v>33.909999999999997</v>
      </c>
    </row>
    <row r="24" spans="2:12" x14ac:dyDescent="0.5">
      <c r="C24">
        <v>2.86</v>
      </c>
      <c r="D24">
        <v>15.35</v>
      </c>
      <c r="E24">
        <v>19.34</v>
      </c>
      <c r="F24">
        <v>20.14</v>
      </c>
      <c r="G24">
        <v>20.95</v>
      </c>
      <c r="H24">
        <v>14.64</v>
      </c>
      <c r="I24">
        <v>21.86</v>
      </c>
      <c r="J24">
        <v>29.02</v>
      </c>
      <c r="K24">
        <v>29.86</v>
      </c>
      <c r="L24">
        <v>31.66</v>
      </c>
    </row>
    <row r="25" spans="2:12" x14ac:dyDescent="0.5">
      <c r="C25">
        <v>2.52</v>
      </c>
      <c r="D25">
        <v>13.66</v>
      </c>
      <c r="E25">
        <v>19.93</v>
      </c>
      <c r="F25">
        <v>20.57</v>
      </c>
      <c r="J25">
        <v>25.38</v>
      </c>
      <c r="K25">
        <v>28.07</v>
      </c>
      <c r="L25">
        <v>31.19</v>
      </c>
    </row>
    <row r="26" spans="2:12" x14ac:dyDescent="0.5">
      <c r="F26">
        <v>21</v>
      </c>
      <c r="L26">
        <v>31.03</v>
      </c>
    </row>
    <row r="27" spans="2:12" x14ac:dyDescent="0.5">
      <c r="C27">
        <f t="shared" ref="C27:L27" si="19">AVERAGE(C20:C26)</f>
        <v>3.2833333333333332</v>
      </c>
      <c r="D27">
        <f t="shared" si="19"/>
        <v>14.281666666666666</v>
      </c>
      <c r="E27">
        <f t="shared" si="19"/>
        <v>20.135000000000002</v>
      </c>
      <c r="F27">
        <f t="shared" si="19"/>
        <v>20.734285714285711</v>
      </c>
      <c r="G27">
        <f t="shared" si="19"/>
        <v>20.902000000000001</v>
      </c>
      <c r="H27">
        <f t="shared" si="19"/>
        <v>15.022</v>
      </c>
      <c r="I27">
        <f t="shared" si="19"/>
        <v>21.995999999999999</v>
      </c>
      <c r="J27">
        <f t="shared" si="19"/>
        <v>26.441666666666666</v>
      </c>
      <c r="K27">
        <f t="shared" si="19"/>
        <v>28.708333333333332</v>
      </c>
      <c r="L27">
        <f t="shared" si="19"/>
        <v>32.061428571428571</v>
      </c>
    </row>
    <row r="28" spans="2:12" x14ac:dyDescent="0.5">
      <c r="C28">
        <f>C27</f>
        <v>3.2833333333333332</v>
      </c>
      <c r="D28">
        <f t="shared" ref="D28:G28" si="20">D27</f>
        <v>14.281666666666666</v>
      </c>
      <c r="E28">
        <f t="shared" si="20"/>
        <v>20.135000000000002</v>
      </c>
      <c r="F28">
        <f t="shared" si="20"/>
        <v>20.734285714285711</v>
      </c>
      <c r="G28">
        <f t="shared" si="20"/>
        <v>20.902000000000001</v>
      </c>
      <c r="H28">
        <f>H27+8</f>
        <v>23.021999999999998</v>
      </c>
      <c r="I28">
        <f t="shared" ref="I28:L28" si="21">I27+8</f>
        <v>29.995999999999999</v>
      </c>
      <c r="J28">
        <f t="shared" si="21"/>
        <v>34.441666666666663</v>
      </c>
      <c r="K28">
        <f t="shared" si="21"/>
        <v>36.708333333333329</v>
      </c>
      <c r="L28">
        <f t="shared" si="21"/>
        <v>40.061428571428571</v>
      </c>
    </row>
    <row r="29" spans="2:12" x14ac:dyDescent="0.5">
      <c r="C29">
        <f t="shared" ref="C29:L29" si="22">_xlfn.STDEV.P(C20:C26)</f>
        <v>1.0225404094161208</v>
      </c>
      <c r="D29">
        <f t="shared" si="22"/>
        <v>0.98609358356879884</v>
      </c>
      <c r="E29">
        <f t="shared" si="22"/>
        <v>0.72308943660748681</v>
      </c>
      <c r="F29">
        <f t="shared" si="22"/>
        <v>0.3199489755238718</v>
      </c>
      <c r="G29">
        <f t="shared" si="22"/>
        <v>9.3680307429042486E-2</v>
      </c>
      <c r="H29">
        <f t="shared" si="22"/>
        <v>0.53281891858304009</v>
      </c>
      <c r="I29">
        <f t="shared" si="22"/>
        <v>0.69277990732988226</v>
      </c>
      <c r="J29">
        <f t="shared" si="22"/>
        <v>1.2127711609734495</v>
      </c>
      <c r="K29">
        <f t="shared" si="22"/>
        <v>1.1332904403647912</v>
      </c>
      <c r="L29">
        <f t="shared" si="22"/>
        <v>1.5864734347551084</v>
      </c>
    </row>
    <row r="31" spans="2:12" x14ac:dyDescent="0.5">
      <c r="B31" s="5" t="s">
        <v>5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x14ac:dyDescent="0.5">
      <c r="B32" t="s">
        <v>1</v>
      </c>
      <c r="C32">
        <v>74</v>
      </c>
      <c r="D32">
        <v>69</v>
      </c>
      <c r="E32">
        <v>62</v>
      </c>
      <c r="F32">
        <v>57</v>
      </c>
      <c r="G32">
        <v>53</v>
      </c>
      <c r="H32">
        <v>50</v>
      </c>
      <c r="I32">
        <v>47</v>
      </c>
      <c r="J32">
        <v>45</v>
      </c>
      <c r="K32">
        <v>43</v>
      </c>
      <c r="L32">
        <v>41</v>
      </c>
    </row>
    <row r="33" spans="2:12" x14ac:dyDescent="0.5">
      <c r="B33" t="s">
        <v>2</v>
      </c>
      <c r="C33">
        <v>73</v>
      </c>
      <c r="D33">
        <v>120</v>
      </c>
      <c r="E33">
        <v>164</v>
      </c>
      <c r="F33">
        <v>256</v>
      </c>
      <c r="G33">
        <v>353</v>
      </c>
      <c r="H33">
        <v>427</v>
      </c>
      <c r="I33">
        <v>522</v>
      </c>
      <c r="J33">
        <v>586</v>
      </c>
      <c r="K33">
        <v>638</v>
      </c>
      <c r="L33">
        <v>705</v>
      </c>
    </row>
    <row r="34" spans="2:12" x14ac:dyDescent="0.5">
      <c r="B34" t="s">
        <v>3</v>
      </c>
      <c r="C34">
        <v>3</v>
      </c>
      <c r="D34">
        <v>4</v>
      </c>
      <c r="E34">
        <v>6</v>
      </c>
      <c r="F34">
        <v>8</v>
      </c>
      <c r="G34">
        <v>10</v>
      </c>
      <c r="H34">
        <v>12</v>
      </c>
      <c r="I34">
        <v>14</v>
      </c>
      <c r="J34">
        <v>16</v>
      </c>
      <c r="K34">
        <v>18</v>
      </c>
      <c r="L34">
        <v>20</v>
      </c>
    </row>
    <row r="35" spans="2:12" x14ac:dyDescent="0.5">
      <c r="C35">
        <v>10.79</v>
      </c>
      <c r="D35">
        <v>23.13</v>
      </c>
      <c r="E35">
        <v>26.77</v>
      </c>
      <c r="F35">
        <v>25.64</v>
      </c>
      <c r="G35">
        <v>25.84</v>
      </c>
      <c r="H35">
        <v>17.41</v>
      </c>
      <c r="I35">
        <v>22.76</v>
      </c>
      <c r="J35">
        <v>25.94</v>
      </c>
      <c r="K35">
        <v>31.88</v>
      </c>
      <c r="L35">
        <v>32.200000000000003</v>
      </c>
    </row>
    <row r="36" spans="2:12" x14ac:dyDescent="0.5">
      <c r="C36">
        <v>9.83</v>
      </c>
      <c r="D36">
        <v>21.7</v>
      </c>
      <c r="E36">
        <v>25.91</v>
      </c>
      <c r="F36">
        <v>24.82</v>
      </c>
      <c r="G36">
        <v>25.44</v>
      </c>
      <c r="H36">
        <v>17.12</v>
      </c>
      <c r="I36">
        <v>21.72</v>
      </c>
      <c r="J36">
        <v>23.91</v>
      </c>
      <c r="K36">
        <v>29.52</v>
      </c>
      <c r="L36">
        <v>31.9</v>
      </c>
    </row>
    <row r="37" spans="2:12" x14ac:dyDescent="0.5">
      <c r="C37">
        <v>6.3</v>
      </c>
      <c r="D37">
        <v>20.67</v>
      </c>
      <c r="E37">
        <v>25.87</v>
      </c>
      <c r="F37">
        <v>24.97</v>
      </c>
      <c r="G37">
        <v>25.81</v>
      </c>
      <c r="H37">
        <v>17.77</v>
      </c>
      <c r="I37">
        <v>19.96</v>
      </c>
      <c r="J37">
        <v>26.4</v>
      </c>
      <c r="K37">
        <v>26.73</v>
      </c>
      <c r="L37">
        <v>29.4</v>
      </c>
    </row>
    <row r="38" spans="2:12" x14ac:dyDescent="0.5">
      <c r="C38">
        <v>8.98</v>
      </c>
      <c r="D38">
        <v>21.67</v>
      </c>
      <c r="E38">
        <v>25.82</v>
      </c>
      <c r="F38">
        <v>24.89</v>
      </c>
      <c r="G38">
        <v>25.52</v>
      </c>
      <c r="H38">
        <v>18.27</v>
      </c>
      <c r="I38">
        <v>21.98</v>
      </c>
      <c r="J38">
        <v>24.48</v>
      </c>
      <c r="K38">
        <v>29.42</v>
      </c>
      <c r="L38">
        <v>30.84</v>
      </c>
    </row>
    <row r="39" spans="2:12" x14ac:dyDescent="0.5">
      <c r="C39">
        <v>9.16</v>
      </c>
      <c r="D39">
        <v>21.29</v>
      </c>
      <c r="E39">
        <v>25.91</v>
      </c>
      <c r="F39">
        <v>24.6</v>
      </c>
      <c r="G39">
        <v>25.66</v>
      </c>
      <c r="H39">
        <v>18.190000000000001</v>
      </c>
      <c r="I39">
        <v>23.79</v>
      </c>
      <c r="J39">
        <v>26.75</v>
      </c>
      <c r="K39">
        <v>29.71</v>
      </c>
      <c r="L39">
        <v>31.97</v>
      </c>
    </row>
    <row r="40" spans="2:12" x14ac:dyDescent="0.5">
      <c r="C40">
        <v>10.34</v>
      </c>
      <c r="D40">
        <v>20.83</v>
      </c>
      <c r="E40">
        <v>26.3</v>
      </c>
      <c r="F40">
        <v>24.85</v>
      </c>
      <c r="H40">
        <v>18.18</v>
      </c>
      <c r="I40">
        <v>22.31</v>
      </c>
      <c r="J40">
        <v>25.67</v>
      </c>
      <c r="K40">
        <v>28.33</v>
      </c>
      <c r="L40">
        <v>30.29</v>
      </c>
    </row>
    <row r="41" spans="2:12" x14ac:dyDescent="0.5">
      <c r="C41">
        <v>12.05</v>
      </c>
    </row>
    <row r="42" spans="2:12" x14ac:dyDescent="0.5">
      <c r="C42">
        <f>AVERAGE(C35:C41)</f>
        <v>9.6357142857142861</v>
      </c>
      <c r="D42">
        <f t="shared" ref="D42:L42" si="23">AVERAGE(D35:D40)</f>
        <v>21.548333333333336</v>
      </c>
      <c r="E42">
        <f t="shared" si="23"/>
        <v>26.096666666666668</v>
      </c>
      <c r="F42">
        <f t="shared" si="23"/>
        <v>24.96166666666667</v>
      </c>
      <c r="G42">
        <f t="shared" si="23"/>
        <v>25.654000000000003</v>
      </c>
      <c r="H42">
        <f t="shared" si="23"/>
        <v>17.823333333333334</v>
      </c>
      <c r="I42">
        <f t="shared" si="23"/>
        <v>22.08666666666667</v>
      </c>
      <c r="J42">
        <f t="shared" si="23"/>
        <v>25.525000000000002</v>
      </c>
      <c r="K42">
        <f t="shared" si="23"/>
        <v>29.264999999999997</v>
      </c>
      <c r="L42">
        <f t="shared" si="23"/>
        <v>31.099999999999998</v>
      </c>
    </row>
    <row r="43" spans="2:12" x14ac:dyDescent="0.5">
      <c r="C43">
        <f>C42</f>
        <v>9.6357142857142861</v>
      </c>
      <c r="D43">
        <f t="shared" ref="D43:G43" si="24">D42</f>
        <v>21.548333333333336</v>
      </c>
      <c r="E43">
        <f t="shared" si="24"/>
        <v>26.096666666666668</v>
      </c>
      <c r="F43">
        <f t="shared" si="24"/>
        <v>24.96166666666667</v>
      </c>
      <c r="G43">
        <f t="shared" si="24"/>
        <v>25.654000000000003</v>
      </c>
      <c r="H43">
        <f>H42+8</f>
        <v>25.823333333333334</v>
      </c>
      <c r="I43">
        <f t="shared" ref="I43:L43" si="25">I42+8</f>
        <v>30.08666666666667</v>
      </c>
      <c r="J43">
        <f t="shared" si="25"/>
        <v>33.525000000000006</v>
      </c>
      <c r="K43">
        <f t="shared" si="25"/>
        <v>37.265000000000001</v>
      </c>
      <c r="L43">
        <f t="shared" si="25"/>
        <v>39.099999999999994</v>
      </c>
    </row>
    <row r="44" spans="2:12" x14ac:dyDescent="0.5">
      <c r="C44">
        <f>_xlfn.STDEV.P(C35:C41)</f>
        <v>1.6681114825956123</v>
      </c>
      <c r="D44">
        <f t="shared" ref="D44:L44" si="26">_xlfn.STDEV.P(D35:D40)</f>
        <v>0.80557260518355622</v>
      </c>
      <c r="E44">
        <f t="shared" si="26"/>
        <v>0.33968940061310232</v>
      </c>
      <c r="F44">
        <f t="shared" si="26"/>
        <v>0.32369824768687805</v>
      </c>
      <c r="G44">
        <f t="shared" si="26"/>
        <v>0.15666524822052855</v>
      </c>
      <c r="H44">
        <f t="shared" si="26"/>
        <v>0.43388426516244549</v>
      </c>
      <c r="I44">
        <f t="shared" si="26"/>
        <v>1.1599664746113234</v>
      </c>
      <c r="J44">
        <f t="shared" si="26"/>
        <v>1.0132250490389585</v>
      </c>
      <c r="K44">
        <f t="shared" si="26"/>
        <v>1.5505778492764128</v>
      </c>
      <c r="L44">
        <f t="shared" si="26"/>
        <v>1.0182173965645391</v>
      </c>
    </row>
    <row r="46" spans="2:12" x14ac:dyDescent="0.5">
      <c r="B46" s="5" t="s">
        <v>6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 x14ac:dyDescent="0.5">
      <c r="B47" t="s">
        <v>1</v>
      </c>
      <c r="C47">
        <v>74</v>
      </c>
      <c r="D47">
        <v>69</v>
      </c>
      <c r="E47">
        <v>62</v>
      </c>
      <c r="F47">
        <v>57</v>
      </c>
      <c r="G47">
        <v>53</v>
      </c>
      <c r="H47">
        <v>50</v>
      </c>
      <c r="I47">
        <v>47</v>
      </c>
      <c r="J47">
        <v>45</v>
      </c>
      <c r="K47">
        <v>43</v>
      </c>
      <c r="L47">
        <v>41</v>
      </c>
    </row>
    <row r="48" spans="2:12" x14ac:dyDescent="0.5">
      <c r="B48" t="s">
        <v>2</v>
      </c>
      <c r="C48">
        <v>73</v>
      </c>
      <c r="D48">
        <v>120</v>
      </c>
      <c r="E48">
        <v>164</v>
      </c>
      <c r="F48">
        <v>256</v>
      </c>
      <c r="G48">
        <v>353</v>
      </c>
      <c r="H48">
        <v>427</v>
      </c>
      <c r="I48">
        <v>522</v>
      </c>
      <c r="J48">
        <v>586</v>
      </c>
      <c r="K48">
        <v>638</v>
      </c>
      <c r="L48">
        <v>705</v>
      </c>
    </row>
    <row r="49" spans="2:12" x14ac:dyDescent="0.5">
      <c r="B49" t="s">
        <v>3</v>
      </c>
      <c r="C49">
        <v>3</v>
      </c>
      <c r="D49">
        <v>4</v>
      </c>
      <c r="E49">
        <v>6</v>
      </c>
      <c r="F49">
        <v>8</v>
      </c>
      <c r="G49">
        <v>10</v>
      </c>
      <c r="H49">
        <v>12</v>
      </c>
      <c r="I49">
        <v>14</v>
      </c>
      <c r="J49">
        <v>16</v>
      </c>
      <c r="K49">
        <v>18</v>
      </c>
      <c r="L49">
        <v>20</v>
      </c>
    </row>
    <row r="50" spans="2:12" x14ac:dyDescent="0.5">
      <c r="C50">
        <v>16.38</v>
      </c>
      <c r="D50">
        <v>22.75</v>
      </c>
      <c r="E50">
        <v>26.23</v>
      </c>
      <c r="F50">
        <v>26.67</v>
      </c>
      <c r="G50">
        <v>26.54</v>
      </c>
      <c r="H50">
        <v>17.32</v>
      </c>
      <c r="I50">
        <v>21.7</v>
      </c>
      <c r="J50">
        <v>27.25</v>
      </c>
      <c r="K50">
        <v>28.11</v>
      </c>
      <c r="L50">
        <v>33.64</v>
      </c>
    </row>
    <row r="51" spans="2:12" x14ac:dyDescent="0.5">
      <c r="C51">
        <v>12.21</v>
      </c>
      <c r="D51">
        <v>21.38</v>
      </c>
      <c r="E51">
        <v>25.33</v>
      </c>
      <c r="F51">
        <v>26.08</v>
      </c>
      <c r="G51">
        <v>25.11</v>
      </c>
      <c r="H51">
        <v>16.309999999999999</v>
      </c>
      <c r="I51">
        <v>21.09</v>
      </c>
      <c r="J51">
        <v>24.87</v>
      </c>
      <c r="K51">
        <v>26.93</v>
      </c>
      <c r="L51">
        <v>29.95</v>
      </c>
    </row>
    <row r="52" spans="2:12" x14ac:dyDescent="0.5">
      <c r="C52">
        <v>12.44</v>
      </c>
      <c r="D52">
        <v>22.06</v>
      </c>
      <c r="E52">
        <v>26.34</v>
      </c>
      <c r="F52">
        <v>25.72</v>
      </c>
      <c r="G52">
        <v>24.94</v>
      </c>
      <c r="H52">
        <v>16.579999999999998</v>
      </c>
      <c r="I52">
        <v>19.559999999999999</v>
      </c>
      <c r="J52">
        <v>24.98</v>
      </c>
      <c r="K52">
        <v>27.91</v>
      </c>
      <c r="L52">
        <v>31.26</v>
      </c>
    </row>
    <row r="53" spans="2:12" x14ac:dyDescent="0.5">
      <c r="C53">
        <v>9.91</v>
      </c>
      <c r="D53">
        <v>21.67</v>
      </c>
      <c r="E53">
        <v>25.78</v>
      </c>
      <c r="F53">
        <v>26.03</v>
      </c>
      <c r="G53">
        <v>23.83</v>
      </c>
      <c r="H53">
        <v>18.09</v>
      </c>
      <c r="I53">
        <v>21.95</v>
      </c>
      <c r="J53">
        <v>24.18</v>
      </c>
      <c r="K53">
        <v>27.32</v>
      </c>
      <c r="L53">
        <v>31.27</v>
      </c>
    </row>
    <row r="54" spans="2:12" x14ac:dyDescent="0.5">
      <c r="C54">
        <v>12.04</v>
      </c>
      <c r="D54">
        <v>22.3</v>
      </c>
      <c r="E54">
        <v>27.05</v>
      </c>
      <c r="F54">
        <v>25.43</v>
      </c>
      <c r="G54">
        <v>23.34</v>
      </c>
      <c r="H54">
        <v>18.53</v>
      </c>
      <c r="I54">
        <v>20.399999999999999</v>
      </c>
      <c r="J54">
        <v>23.53</v>
      </c>
      <c r="K54">
        <v>28.41</v>
      </c>
      <c r="L54">
        <v>30.28</v>
      </c>
    </row>
    <row r="55" spans="2:12" x14ac:dyDescent="0.5">
      <c r="C55">
        <v>12.97</v>
      </c>
      <c r="D55">
        <v>22.1</v>
      </c>
      <c r="E55">
        <v>27.34</v>
      </c>
      <c r="F55">
        <v>26.24</v>
      </c>
      <c r="G55">
        <v>24.93</v>
      </c>
      <c r="H55">
        <v>17.62</v>
      </c>
      <c r="I55">
        <v>20.2</v>
      </c>
      <c r="J55">
        <v>24.34</v>
      </c>
      <c r="L55">
        <v>30.23</v>
      </c>
    </row>
    <row r="57" spans="2:12" x14ac:dyDescent="0.5">
      <c r="C57">
        <f t="shared" ref="C57:L57" si="27">AVERAGE(C50:C56)</f>
        <v>12.658333333333333</v>
      </c>
      <c r="D57">
        <f t="shared" si="27"/>
        <v>22.043333333333333</v>
      </c>
      <c r="E57">
        <f t="shared" si="27"/>
        <v>26.345000000000002</v>
      </c>
      <c r="F57">
        <f t="shared" si="27"/>
        <v>26.028333333333336</v>
      </c>
      <c r="G57">
        <f t="shared" si="27"/>
        <v>24.781666666666666</v>
      </c>
      <c r="H57">
        <f t="shared" si="27"/>
        <v>17.408333333333335</v>
      </c>
      <c r="I57">
        <f t="shared" si="27"/>
        <v>20.816666666666666</v>
      </c>
      <c r="J57">
        <f t="shared" si="27"/>
        <v>24.858333333333334</v>
      </c>
      <c r="K57">
        <f t="shared" si="27"/>
        <v>27.736000000000001</v>
      </c>
      <c r="L57">
        <f t="shared" si="27"/>
        <v>31.105</v>
      </c>
    </row>
    <row r="58" spans="2:12" x14ac:dyDescent="0.5">
      <c r="C58">
        <f>C57</f>
        <v>12.658333333333333</v>
      </c>
      <c r="D58">
        <f t="shared" ref="D58:G58" si="28">D57</f>
        <v>22.043333333333333</v>
      </c>
      <c r="E58">
        <f t="shared" si="28"/>
        <v>26.345000000000002</v>
      </c>
      <c r="F58">
        <f t="shared" si="28"/>
        <v>26.028333333333336</v>
      </c>
      <c r="G58">
        <f t="shared" si="28"/>
        <v>24.781666666666666</v>
      </c>
      <c r="H58">
        <f>H57+8</f>
        <v>25.408333333333335</v>
      </c>
      <c r="I58">
        <f t="shared" ref="I58:L58" si="29">I57+8</f>
        <v>28.816666666666666</v>
      </c>
      <c r="J58">
        <f t="shared" si="29"/>
        <v>32.858333333333334</v>
      </c>
      <c r="K58">
        <f t="shared" si="29"/>
        <v>35.736000000000004</v>
      </c>
      <c r="L58">
        <f t="shared" si="29"/>
        <v>39.105000000000004</v>
      </c>
    </row>
    <row r="59" spans="2:12" x14ac:dyDescent="0.5">
      <c r="C59">
        <f t="shared" ref="C59:L59" si="30">_xlfn.STDEV.P(C50:C56)</f>
        <v>1.92060248070466</v>
      </c>
      <c r="D59">
        <f t="shared" si="30"/>
        <v>0.43744205965539668</v>
      </c>
      <c r="E59">
        <f t="shared" si="30"/>
        <v>0.68917220876449581</v>
      </c>
      <c r="F59">
        <f t="shared" si="30"/>
        <v>0.38993233031158447</v>
      </c>
      <c r="G59">
        <f t="shared" si="30"/>
        <v>1.0190423063946965</v>
      </c>
      <c r="H59">
        <f t="shared" si="30"/>
        <v>0.78186564631584254</v>
      </c>
      <c r="I59">
        <f t="shared" si="30"/>
        <v>0.84385359446345265</v>
      </c>
      <c r="J59">
        <f t="shared" si="30"/>
        <v>1.1710595866801803</v>
      </c>
      <c r="K59">
        <f t="shared" si="30"/>
        <v>0.53798141231830676</v>
      </c>
      <c r="L59">
        <f t="shared" si="30"/>
        <v>1.242158739184865</v>
      </c>
    </row>
    <row r="61" spans="2:12" x14ac:dyDescent="0.5">
      <c r="B61" s="5" t="s">
        <v>7</v>
      </c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2:12" x14ac:dyDescent="0.5">
      <c r="B62" t="s">
        <v>1</v>
      </c>
      <c r="C62">
        <v>74</v>
      </c>
      <c r="D62">
        <v>69</v>
      </c>
      <c r="E62">
        <v>62</v>
      </c>
      <c r="F62">
        <v>57</v>
      </c>
      <c r="G62">
        <v>53</v>
      </c>
      <c r="H62">
        <v>50</v>
      </c>
      <c r="I62">
        <v>47</v>
      </c>
      <c r="J62">
        <v>45</v>
      </c>
      <c r="K62">
        <v>43</v>
      </c>
      <c r="L62">
        <v>41</v>
      </c>
    </row>
    <row r="63" spans="2:12" x14ac:dyDescent="0.5">
      <c r="B63" t="s">
        <v>2</v>
      </c>
      <c r="C63">
        <v>73</v>
      </c>
      <c r="D63">
        <v>120</v>
      </c>
      <c r="E63">
        <v>164</v>
      </c>
      <c r="F63">
        <v>256</v>
      </c>
      <c r="G63">
        <v>353</v>
      </c>
      <c r="H63">
        <v>427</v>
      </c>
      <c r="I63">
        <v>522</v>
      </c>
      <c r="J63">
        <v>586</v>
      </c>
      <c r="K63">
        <v>638</v>
      </c>
      <c r="L63">
        <v>705</v>
      </c>
    </row>
    <row r="64" spans="2:12" x14ac:dyDescent="0.5">
      <c r="B64" t="s">
        <v>3</v>
      </c>
      <c r="C64">
        <v>3</v>
      </c>
      <c r="D64">
        <v>4</v>
      </c>
      <c r="E64">
        <v>6</v>
      </c>
      <c r="F64">
        <v>8</v>
      </c>
      <c r="G64">
        <v>10</v>
      </c>
      <c r="H64">
        <v>12</v>
      </c>
      <c r="I64">
        <v>14</v>
      </c>
      <c r="J64">
        <v>16</v>
      </c>
      <c r="K64">
        <v>18</v>
      </c>
      <c r="L64">
        <v>20</v>
      </c>
    </row>
    <row r="65" spans="3:12" x14ac:dyDescent="0.5">
      <c r="C65">
        <v>15.34</v>
      </c>
      <c r="D65">
        <v>23.88</v>
      </c>
      <c r="E65">
        <v>26.88</v>
      </c>
      <c r="F65">
        <v>26.23</v>
      </c>
      <c r="G65">
        <v>25.93</v>
      </c>
      <c r="H65">
        <v>17.45</v>
      </c>
      <c r="I65">
        <v>21.31</v>
      </c>
      <c r="J65">
        <v>26.94</v>
      </c>
      <c r="K65">
        <v>32.49</v>
      </c>
      <c r="L65">
        <v>33.46</v>
      </c>
    </row>
    <row r="66" spans="3:12" x14ac:dyDescent="0.5">
      <c r="C66">
        <v>14.46</v>
      </c>
      <c r="D66">
        <v>22.88</v>
      </c>
      <c r="E66">
        <v>25.86</v>
      </c>
      <c r="F66">
        <v>25.17</v>
      </c>
      <c r="G66">
        <v>24.72</v>
      </c>
      <c r="H66">
        <v>16.16</v>
      </c>
      <c r="I66">
        <v>20.75</v>
      </c>
      <c r="J66">
        <v>26.3</v>
      </c>
      <c r="K66">
        <v>29.16</v>
      </c>
      <c r="L66">
        <v>31.52</v>
      </c>
    </row>
    <row r="67" spans="3:12" x14ac:dyDescent="0.5">
      <c r="C67">
        <v>12.55</v>
      </c>
      <c r="D67">
        <v>22.08</v>
      </c>
      <c r="E67">
        <v>25.58</v>
      </c>
      <c r="F67">
        <v>25.14</v>
      </c>
      <c r="G67">
        <v>24.8</v>
      </c>
      <c r="H67">
        <v>16.48</v>
      </c>
      <c r="I67">
        <v>18.88</v>
      </c>
      <c r="J67">
        <v>25.57</v>
      </c>
      <c r="K67">
        <v>29.4</v>
      </c>
      <c r="L67">
        <v>31.28</v>
      </c>
    </row>
    <row r="68" spans="3:12" x14ac:dyDescent="0.5">
      <c r="C68">
        <v>13.03</v>
      </c>
      <c r="D68">
        <v>21.84</v>
      </c>
      <c r="E68">
        <v>25.76</v>
      </c>
      <c r="F68">
        <v>25.1</v>
      </c>
      <c r="G68">
        <v>24.57</v>
      </c>
      <c r="H68">
        <v>16.489999999999998</v>
      </c>
      <c r="I68">
        <v>19.39</v>
      </c>
      <c r="J68">
        <v>25.28</v>
      </c>
      <c r="K68">
        <v>28.93</v>
      </c>
      <c r="L68">
        <v>31.26</v>
      </c>
    </row>
    <row r="69" spans="3:12" x14ac:dyDescent="0.5">
      <c r="C69">
        <v>14.61</v>
      </c>
      <c r="D69">
        <v>21.57</v>
      </c>
      <c r="E69">
        <v>26.31</v>
      </c>
      <c r="F69">
        <v>24.77</v>
      </c>
      <c r="G69">
        <v>24.57</v>
      </c>
      <c r="H69">
        <v>16.64</v>
      </c>
      <c r="I69">
        <v>18.95</v>
      </c>
      <c r="J69">
        <v>25.29</v>
      </c>
      <c r="K69">
        <v>28</v>
      </c>
      <c r="L69">
        <v>33.03</v>
      </c>
    </row>
    <row r="70" spans="3:12" x14ac:dyDescent="0.5">
      <c r="C70">
        <v>15.29</v>
      </c>
      <c r="D70">
        <v>21.53</v>
      </c>
      <c r="E70">
        <v>26.13</v>
      </c>
      <c r="F70">
        <v>24.92</v>
      </c>
      <c r="G70">
        <v>24.82</v>
      </c>
      <c r="H70">
        <v>16.28</v>
      </c>
      <c r="I70">
        <v>20.68</v>
      </c>
      <c r="J70">
        <v>25.26</v>
      </c>
      <c r="K70">
        <v>29.35</v>
      </c>
      <c r="L70">
        <v>31.22</v>
      </c>
    </row>
    <row r="72" spans="3:12" x14ac:dyDescent="0.5">
      <c r="C72">
        <f>AVERAGE(C65:C70)</f>
        <v>14.213333333333333</v>
      </c>
      <c r="D72">
        <f t="shared" ref="D72:L72" si="31">AVERAGE(D65:D70)</f>
        <v>22.296666666666667</v>
      </c>
      <c r="E72">
        <f t="shared" si="31"/>
        <v>26.086666666666662</v>
      </c>
      <c r="F72">
        <f t="shared" si="31"/>
        <v>25.221666666666668</v>
      </c>
      <c r="G72">
        <f t="shared" si="31"/>
        <v>24.901666666666667</v>
      </c>
      <c r="H72">
        <f t="shared" si="31"/>
        <v>16.583333333333332</v>
      </c>
      <c r="I72">
        <f t="shared" si="31"/>
        <v>19.993333333333336</v>
      </c>
      <c r="J72">
        <f t="shared" si="31"/>
        <v>25.77333333333333</v>
      </c>
      <c r="K72">
        <f t="shared" si="31"/>
        <v>29.555000000000003</v>
      </c>
      <c r="L72">
        <f t="shared" si="31"/>
        <v>31.96166666666667</v>
      </c>
    </row>
    <row r="73" spans="3:12" x14ac:dyDescent="0.5">
      <c r="C73">
        <f>C72</f>
        <v>14.213333333333333</v>
      </c>
      <c r="D73">
        <f t="shared" ref="D73:G73" si="32">D72</f>
        <v>22.296666666666667</v>
      </c>
      <c r="E73">
        <f t="shared" si="32"/>
        <v>26.086666666666662</v>
      </c>
      <c r="F73">
        <f t="shared" si="32"/>
        <v>25.221666666666668</v>
      </c>
      <c r="G73">
        <f t="shared" si="32"/>
        <v>24.901666666666667</v>
      </c>
      <c r="H73">
        <f>H72+8</f>
        <v>24.583333333333332</v>
      </c>
      <c r="I73">
        <f t="shared" ref="I73:L73" si="33">I72+8</f>
        <v>27.993333333333336</v>
      </c>
      <c r="J73">
        <f t="shared" si="33"/>
        <v>33.773333333333326</v>
      </c>
      <c r="K73">
        <f t="shared" si="33"/>
        <v>37.555000000000007</v>
      </c>
      <c r="L73">
        <f t="shared" si="33"/>
        <v>39.961666666666673</v>
      </c>
    </row>
    <row r="74" spans="3:12" x14ac:dyDescent="0.5">
      <c r="C74">
        <f>_xlfn.STDEV.P(C65:C70)</f>
        <v>1.065655770979645</v>
      </c>
      <c r="D74">
        <f t="shared" ref="D74:L74" si="34">_xlfn.STDEV.P(D65:D70)</f>
        <v>0.83850395877949668</v>
      </c>
      <c r="E74">
        <f t="shared" si="34"/>
        <v>0.42738221249316793</v>
      </c>
      <c r="F74">
        <f t="shared" si="34"/>
        <v>0.47185508604043058</v>
      </c>
      <c r="G74">
        <f t="shared" si="34"/>
        <v>0.47036924030193772</v>
      </c>
      <c r="H74">
        <f t="shared" si="34"/>
        <v>0.41731948858824608</v>
      </c>
      <c r="I74">
        <f t="shared" si="34"/>
        <v>0.95478909829460357</v>
      </c>
      <c r="J74">
        <f t="shared" si="34"/>
        <v>0.63512903325929704</v>
      </c>
      <c r="K74">
        <f t="shared" si="34"/>
        <v>1.3931349539796933</v>
      </c>
      <c r="L74">
        <f t="shared" si="34"/>
        <v>0.92091289249068298</v>
      </c>
    </row>
  </sheetData>
  <mergeCells count="5">
    <mergeCell ref="B1:L1"/>
    <mergeCell ref="B16:L16"/>
    <mergeCell ref="B31:L31"/>
    <mergeCell ref="B46:L46"/>
    <mergeCell ref="B61:L61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D530-BD2B-4F48-BA3F-6CADB13240A9}">
  <dimension ref="B2:AT36"/>
  <sheetViews>
    <sheetView zoomScale="37" zoomScaleNormal="70" workbookViewId="0">
      <selection activeCell="AJ49" sqref="AJ49"/>
    </sheetView>
  </sheetViews>
  <sheetFormatPr defaultRowHeight="14.35" x14ac:dyDescent="0.5"/>
  <sheetData>
    <row r="2" spans="2:46" x14ac:dyDescent="0.5">
      <c r="B2" s="5" t="s">
        <v>16</v>
      </c>
      <c r="C2" s="5"/>
      <c r="D2" s="5"/>
      <c r="E2" s="5"/>
      <c r="F2" s="5"/>
      <c r="G2" s="5"/>
      <c r="H2" s="5"/>
      <c r="I2" s="5"/>
      <c r="J2" s="5"/>
      <c r="K2" s="5"/>
      <c r="L2" s="5"/>
      <c r="O2" s="5" t="s">
        <v>17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 spans="2:46" x14ac:dyDescent="0.5">
      <c r="B3" s="5" t="s">
        <v>14</v>
      </c>
      <c r="C3" s="5"/>
      <c r="D3" s="5"/>
      <c r="E3" s="5"/>
      <c r="F3" s="5"/>
      <c r="G3" s="5"/>
      <c r="H3" s="5"/>
      <c r="I3" s="5"/>
      <c r="J3" s="5"/>
      <c r="K3" s="5"/>
      <c r="L3" s="5"/>
      <c r="O3" s="5" t="s">
        <v>14</v>
      </c>
      <c r="P3" s="5"/>
      <c r="Q3" s="5"/>
      <c r="R3" s="5"/>
      <c r="S3" s="5"/>
      <c r="T3" s="5"/>
      <c r="U3" s="5"/>
      <c r="V3" s="5"/>
      <c r="W3" s="5"/>
      <c r="X3" s="5"/>
      <c r="Y3" s="5"/>
      <c r="AB3">
        <v>250</v>
      </c>
    </row>
    <row r="4" spans="2:46" x14ac:dyDescent="0.5">
      <c r="C4">
        <v>73</v>
      </c>
      <c r="D4">
        <v>120</v>
      </c>
      <c r="E4">
        <v>164</v>
      </c>
      <c r="F4">
        <v>256</v>
      </c>
      <c r="G4">
        <v>353</v>
      </c>
      <c r="H4">
        <v>427</v>
      </c>
      <c r="I4">
        <v>522</v>
      </c>
      <c r="J4">
        <v>586</v>
      </c>
      <c r="K4">
        <v>638</v>
      </c>
      <c r="L4">
        <v>705</v>
      </c>
      <c r="P4">
        <v>73</v>
      </c>
      <c r="Q4">
        <v>120</v>
      </c>
      <c r="R4">
        <v>164</v>
      </c>
      <c r="S4">
        <v>256</v>
      </c>
      <c r="T4">
        <v>353</v>
      </c>
      <c r="U4">
        <v>427</v>
      </c>
      <c r="V4">
        <v>522</v>
      </c>
      <c r="W4">
        <v>586</v>
      </c>
      <c r="X4">
        <v>638</v>
      </c>
      <c r="Y4">
        <v>705</v>
      </c>
      <c r="AB4">
        <v>1000</v>
      </c>
    </row>
    <row r="5" spans="2:46" x14ac:dyDescent="0.5">
      <c r="B5">
        <v>0</v>
      </c>
      <c r="C5">
        <v>1.2966666666666666</v>
      </c>
      <c r="D5">
        <v>7.0350000000000001</v>
      </c>
      <c r="E5">
        <v>14.504285714285714</v>
      </c>
      <c r="F5">
        <v>14.638333333333334</v>
      </c>
      <c r="G5">
        <v>16.063333333333333</v>
      </c>
      <c r="H5">
        <v>19.648333333333333</v>
      </c>
      <c r="I5">
        <v>27.665000000000003</v>
      </c>
      <c r="J5">
        <v>32.986666666666665</v>
      </c>
      <c r="K5">
        <v>34.933333333333337</v>
      </c>
      <c r="L5">
        <v>37.010000000000005</v>
      </c>
      <c r="O5">
        <v>0</v>
      </c>
      <c r="P5">
        <f>C5</f>
        <v>1.2966666666666666</v>
      </c>
      <c r="Q5">
        <f t="shared" ref="Q5:Y9" si="0">D5</f>
        <v>7.0350000000000001</v>
      </c>
      <c r="R5">
        <f t="shared" si="0"/>
        <v>14.504285714285714</v>
      </c>
      <c r="S5">
        <f t="shared" si="0"/>
        <v>14.638333333333334</v>
      </c>
      <c r="T5">
        <f t="shared" si="0"/>
        <v>16.063333333333333</v>
      </c>
      <c r="U5">
        <f t="shared" si="0"/>
        <v>19.648333333333333</v>
      </c>
      <c r="V5">
        <f t="shared" si="0"/>
        <v>27.665000000000003</v>
      </c>
      <c r="W5">
        <f t="shared" si="0"/>
        <v>32.986666666666665</v>
      </c>
      <c r="X5">
        <f t="shared" si="0"/>
        <v>34.933333333333337</v>
      </c>
      <c r="Y5">
        <f t="shared" si="0"/>
        <v>37.010000000000005</v>
      </c>
      <c r="AB5">
        <v>4000</v>
      </c>
      <c r="AK5">
        <v>73</v>
      </c>
      <c r="AL5">
        <v>120</v>
      </c>
      <c r="AM5">
        <v>164</v>
      </c>
      <c r="AN5">
        <v>256</v>
      </c>
      <c r="AO5">
        <v>353</v>
      </c>
      <c r="AP5">
        <v>427</v>
      </c>
      <c r="AQ5">
        <v>522</v>
      </c>
      <c r="AR5">
        <v>586</v>
      </c>
      <c r="AS5">
        <v>638</v>
      </c>
      <c r="AT5">
        <v>705</v>
      </c>
    </row>
    <row r="6" spans="2:46" x14ac:dyDescent="0.5">
      <c r="B6">
        <v>20</v>
      </c>
      <c r="C6">
        <v>3.2833333333333332</v>
      </c>
      <c r="D6">
        <v>14.281666666666666</v>
      </c>
      <c r="E6">
        <v>20.135000000000002</v>
      </c>
      <c r="F6">
        <v>20.734285714285711</v>
      </c>
      <c r="G6">
        <v>20.902000000000001</v>
      </c>
      <c r="H6">
        <v>23.021999999999998</v>
      </c>
      <c r="I6">
        <v>29.995999999999999</v>
      </c>
      <c r="J6">
        <v>34.441666666666663</v>
      </c>
      <c r="K6">
        <v>36.708333333333329</v>
      </c>
      <c r="L6">
        <v>40.061428571428571</v>
      </c>
      <c r="O6">
        <v>20</v>
      </c>
      <c r="P6">
        <f t="shared" ref="P6:P9" si="1">C6</f>
        <v>3.2833333333333332</v>
      </c>
      <c r="Q6">
        <f t="shared" si="0"/>
        <v>14.281666666666666</v>
      </c>
      <c r="R6">
        <f t="shared" si="0"/>
        <v>20.135000000000002</v>
      </c>
      <c r="S6">
        <f t="shared" si="0"/>
        <v>20.734285714285711</v>
      </c>
      <c r="T6">
        <f t="shared" si="0"/>
        <v>20.902000000000001</v>
      </c>
      <c r="U6">
        <f t="shared" si="0"/>
        <v>23.021999999999998</v>
      </c>
      <c r="V6">
        <f t="shared" si="0"/>
        <v>29.995999999999999</v>
      </c>
      <c r="W6">
        <f t="shared" si="0"/>
        <v>34.441666666666663</v>
      </c>
      <c r="X6">
        <f t="shared" si="0"/>
        <v>36.708333333333329</v>
      </c>
      <c r="Y6">
        <f t="shared" si="0"/>
        <v>40.061428571428571</v>
      </c>
      <c r="AJ6">
        <v>0</v>
      </c>
      <c r="AK6">
        <f>P5</f>
        <v>1.2966666666666666</v>
      </c>
      <c r="AL6">
        <f t="shared" ref="AL6:AT6" si="2">Q5</f>
        <v>7.0350000000000001</v>
      </c>
      <c r="AM6">
        <f t="shared" si="2"/>
        <v>14.504285714285714</v>
      </c>
      <c r="AN6">
        <f t="shared" si="2"/>
        <v>14.638333333333334</v>
      </c>
      <c r="AO6">
        <f t="shared" si="2"/>
        <v>16.063333333333333</v>
      </c>
      <c r="AP6">
        <f t="shared" si="2"/>
        <v>19.648333333333333</v>
      </c>
      <c r="AQ6">
        <f t="shared" si="2"/>
        <v>27.665000000000003</v>
      </c>
      <c r="AR6">
        <f t="shared" si="2"/>
        <v>32.986666666666665</v>
      </c>
      <c r="AS6">
        <f t="shared" si="2"/>
        <v>34.933333333333337</v>
      </c>
      <c r="AT6">
        <f t="shared" si="2"/>
        <v>37.010000000000005</v>
      </c>
    </row>
    <row r="7" spans="2:46" x14ac:dyDescent="0.5">
      <c r="B7">
        <v>40</v>
      </c>
      <c r="C7">
        <v>9.6357142857142861</v>
      </c>
      <c r="D7">
        <v>21.548333333333336</v>
      </c>
      <c r="E7">
        <v>26.096666666666668</v>
      </c>
      <c r="F7">
        <v>24.96166666666667</v>
      </c>
      <c r="G7">
        <v>25.654000000000003</v>
      </c>
      <c r="H7">
        <v>25.823333333333334</v>
      </c>
      <c r="I7">
        <v>30.08666666666667</v>
      </c>
      <c r="J7">
        <v>33.525000000000006</v>
      </c>
      <c r="K7">
        <v>37.265000000000001</v>
      </c>
      <c r="L7">
        <v>39.099999999999994</v>
      </c>
      <c r="O7">
        <v>40</v>
      </c>
      <c r="P7">
        <f t="shared" si="1"/>
        <v>9.6357142857142861</v>
      </c>
      <c r="Q7">
        <f t="shared" si="0"/>
        <v>21.548333333333336</v>
      </c>
      <c r="R7">
        <f t="shared" si="0"/>
        <v>26.096666666666668</v>
      </c>
      <c r="S7">
        <f t="shared" si="0"/>
        <v>24.96166666666667</v>
      </c>
      <c r="T7">
        <f t="shared" si="0"/>
        <v>25.654000000000003</v>
      </c>
      <c r="U7">
        <f t="shared" si="0"/>
        <v>25.823333333333334</v>
      </c>
      <c r="V7">
        <f t="shared" si="0"/>
        <v>30.08666666666667</v>
      </c>
      <c r="W7">
        <f t="shared" si="0"/>
        <v>33.525000000000006</v>
      </c>
      <c r="X7">
        <f t="shared" si="0"/>
        <v>37.265000000000001</v>
      </c>
      <c r="Y7">
        <f t="shared" si="0"/>
        <v>39.099999999999994</v>
      </c>
      <c r="AJ7">
        <v>0</v>
      </c>
      <c r="AK7">
        <f>P13</f>
        <v>6.2650000000000006</v>
      </c>
      <c r="AL7">
        <f t="shared" ref="AL7:AT7" si="3">Q13</f>
        <v>16.116666666666667</v>
      </c>
      <c r="AM7">
        <f t="shared" si="3"/>
        <v>23.805</v>
      </c>
      <c r="AN7">
        <f t="shared" si="3"/>
        <v>23.715</v>
      </c>
      <c r="AO7">
        <f t="shared" si="3"/>
        <v>24.681666666666661</v>
      </c>
      <c r="AP7">
        <f t="shared" si="3"/>
        <v>28.751666666666665</v>
      </c>
      <c r="AQ7">
        <f t="shared" si="3"/>
        <v>37.428333333333327</v>
      </c>
      <c r="AR7">
        <f t="shared" si="3"/>
        <v>41.591666666666669</v>
      </c>
      <c r="AS7">
        <f t="shared" si="3"/>
        <v>44.831666666666671</v>
      </c>
      <c r="AT7">
        <f t="shared" si="3"/>
        <v>47.008333333333333</v>
      </c>
    </row>
    <row r="8" spans="2:46" x14ac:dyDescent="0.5">
      <c r="B8">
        <v>60</v>
      </c>
      <c r="C8">
        <v>12.658333333333333</v>
      </c>
      <c r="D8">
        <v>22.043333333333333</v>
      </c>
      <c r="E8">
        <v>26.345000000000002</v>
      </c>
      <c r="F8">
        <v>26.028333333333336</v>
      </c>
      <c r="G8">
        <v>24.781666666666666</v>
      </c>
      <c r="H8">
        <v>25.408333333333335</v>
      </c>
      <c r="I8">
        <v>28.816666666666666</v>
      </c>
      <c r="J8">
        <v>32.858333333333334</v>
      </c>
      <c r="K8">
        <v>35.736000000000004</v>
      </c>
      <c r="L8">
        <v>39.105000000000004</v>
      </c>
      <c r="O8">
        <v>60</v>
      </c>
      <c r="P8">
        <f t="shared" si="1"/>
        <v>12.658333333333333</v>
      </c>
      <c r="Q8">
        <f t="shared" si="0"/>
        <v>22.043333333333333</v>
      </c>
      <c r="R8">
        <f t="shared" si="0"/>
        <v>26.345000000000002</v>
      </c>
      <c r="S8">
        <f t="shared" si="0"/>
        <v>26.028333333333336</v>
      </c>
      <c r="T8">
        <f t="shared" si="0"/>
        <v>24.781666666666666</v>
      </c>
      <c r="U8">
        <f t="shared" si="0"/>
        <v>25.408333333333335</v>
      </c>
      <c r="V8">
        <f t="shared" si="0"/>
        <v>28.816666666666666</v>
      </c>
      <c r="W8">
        <f t="shared" si="0"/>
        <v>32.858333333333334</v>
      </c>
      <c r="X8">
        <f t="shared" si="0"/>
        <v>35.736000000000004</v>
      </c>
      <c r="Y8">
        <f t="shared" si="0"/>
        <v>39.105000000000004</v>
      </c>
      <c r="AJ8">
        <v>0</v>
      </c>
      <c r="AK8">
        <f>P21</f>
        <v>9.7666666666666657</v>
      </c>
      <c r="AL8">
        <f t="shared" ref="AL8:AT8" si="4">Q21</f>
        <v>20.151666666666664</v>
      </c>
      <c r="AM8">
        <f t="shared" si="4"/>
        <v>27.705714285714286</v>
      </c>
      <c r="AN8">
        <f t="shared" si="4"/>
        <v>28.258333333333336</v>
      </c>
      <c r="AO8">
        <f t="shared" si="4"/>
        <v>29.161999999999999</v>
      </c>
      <c r="AP8">
        <f t="shared" si="4"/>
        <v>33.276666666666671</v>
      </c>
      <c r="AQ8">
        <f t="shared" si="4"/>
        <v>42.643333333333331</v>
      </c>
      <c r="AR8">
        <f t="shared" si="4"/>
        <v>47.594999999999999</v>
      </c>
      <c r="AS8">
        <f t="shared" si="4"/>
        <v>50.341666666666669</v>
      </c>
      <c r="AT8">
        <f t="shared" si="4"/>
        <v>52.448333333333331</v>
      </c>
    </row>
    <row r="9" spans="2:46" x14ac:dyDescent="0.5">
      <c r="B9">
        <v>80</v>
      </c>
      <c r="C9">
        <v>14.213333333333333</v>
      </c>
      <c r="D9">
        <v>22.296666666666667</v>
      </c>
      <c r="E9">
        <v>26.086666666666662</v>
      </c>
      <c r="F9">
        <v>25.221666666666668</v>
      </c>
      <c r="G9">
        <v>24.901666666666667</v>
      </c>
      <c r="H9">
        <v>24.583333333333332</v>
      </c>
      <c r="I9">
        <v>27.993333333333336</v>
      </c>
      <c r="J9">
        <v>33.773333333333326</v>
      </c>
      <c r="K9">
        <v>37.555000000000007</v>
      </c>
      <c r="L9">
        <v>39.961666666666673</v>
      </c>
      <c r="O9">
        <v>80</v>
      </c>
      <c r="P9">
        <f t="shared" si="1"/>
        <v>14.213333333333333</v>
      </c>
      <c r="Q9">
        <f t="shared" si="0"/>
        <v>22.296666666666667</v>
      </c>
      <c r="R9">
        <f t="shared" si="0"/>
        <v>26.086666666666662</v>
      </c>
      <c r="S9">
        <f t="shared" si="0"/>
        <v>25.221666666666668</v>
      </c>
      <c r="T9">
        <f t="shared" si="0"/>
        <v>24.901666666666667</v>
      </c>
      <c r="U9">
        <f t="shared" si="0"/>
        <v>24.583333333333332</v>
      </c>
      <c r="V9">
        <f t="shared" si="0"/>
        <v>27.993333333333336</v>
      </c>
      <c r="W9">
        <f t="shared" si="0"/>
        <v>33.773333333333326</v>
      </c>
      <c r="X9">
        <f t="shared" si="0"/>
        <v>37.555000000000007</v>
      </c>
      <c r="Y9">
        <f t="shared" si="0"/>
        <v>39.961666666666673</v>
      </c>
    </row>
    <row r="10" spans="2:46" x14ac:dyDescent="0.5">
      <c r="AJ10">
        <v>20</v>
      </c>
      <c r="AK10">
        <f>P6</f>
        <v>3.2833333333333332</v>
      </c>
      <c r="AL10">
        <f t="shared" ref="AL10:AT10" si="5">Q6</f>
        <v>14.281666666666666</v>
      </c>
      <c r="AM10">
        <f t="shared" si="5"/>
        <v>20.135000000000002</v>
      </c>
      <c r="AN10">
        <f t="shared" si="5"/>
        <v>20.734285714285711</v>
      </c>
      <c r="AO10">
        <f t="shared" si="5"/>
        <v>20.902000000000001</v>
      </c>
      <c r="AP10">
        <f t="shared" si="5"/>
        <v>23.021999999999998</v>
      </c>
      <c r="AQ10">
        <f t="shared" si="5"/>
        <v>29.995999999999999</v>
      </c>
      <c r="AR10">
        <f t="shared" si="5"/>
        <v>34.441666666666663</v>
      </c>
      <c r="AS10">
        <f t="shared" si="5"/>
        <v>36.708333333333329</v>
      </c>
      <c r="AT10">
        <f t="shared" si="5"/>
        <v>40.061428571428571</v>
      </c>
    </row>
    <row r="11" spans="2:46" x14ac:dyDescent="0.5">
      <c r="B11" s="5" t="s">
        <v>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O11" s="5" t="s">
        <v>15</v>
      </c>
      <c r="P11" s="5"/>
      <c r="Q11" s="5"/>
      <c r="R11" s="5"/>
      <c r="S11" s="5"/>
      <c r="T11" s="5"/>
      <c r="U11" s="5"/>
      <c r="V11" s="5"/>
      <c r="W11" s="5"/>
      <c r="X11" s="5"/>
      <c r="Y11" s="5"/>
      <c r="AJ11">
        <v>20</v>
      </c>
      <c r="AK11">
        <f>P14</f>
        <v>6.7366666666666664</v>
      </c>
      <c r="AL11">
        <f t="shared" ref="AL11:AT11" si="6">Q14</f>
        <v>16.989999999999998</v>
      </c>
      <c r="AM11">
        <f t="shared" si="6"/>
        <v>23.028333333333332</v>
      </c>
      <c r="AN11">
        <f t="shared" si="6"/>
        <v>23.818333333333332</v>
      </c>
      <c r="AO11">
        <f t="shared" si="6"/>
        <v>24.58</v>
      </c>
      <c r="AP11">
        <f t="shared" si="6"/>
        <v>28.753333333333334</v>
      </c>
      <c r="AQ11">
        <f t="shared" si="6"/>
        <v>37.62833333333333</v>
      </c>
      <c r="AR11">
        <f t="shared" si="6"/>
        <v>42.353333333333339</v>
      </c>
      <c r="AS11">
        <f t="shared" si="6"/>
        <v>45.926666666666669</v>
      </c>
      <c r="AT11">
        <f t="shared" si="6"/>
        <v>47.626666666666672</v>
      </c>
    </row>
    <row r="12" spans="2:46" x14ac:dyDescent="0.5">
      <c r="C12">
        <v>73</v>
      </c>
      <c r="D12">
        <v>120</v>
      </c>
      <c r="E12">
        <v>164</v>
      </c>
      <c r="F12">
        <v>256</v>
      </c>
      <c r="G12">
        <v>353</v>
      </c>
      <c r="H12">
        <v>427</v>
      </c>
      <c r="I12">
        <v>522</v>
      </c>
      <c r="J12">
        <v>586</v>
      </c>
      <c r="K12">
        <v>638</v>
      </c>
      <c r="L12">
        <v>705</v>
      </c>
      <c r="P12">
        <v>73</v>
      </c>
      <c r="Q12">
        <v>120</v>
      </c>
      <c r="R12">
        <v>164</v>
      </c>
      <c r="S12">
        <v>256</v>
      </c>
      <c r="T12">
        <v>353</v>
      </c>
      <c r="U12">
        <v>427</v>
      </c>
      <c r="V12">
        <v>522</v>
      </c>
      <c r="W12">
        <v>586</v>
      </c>
      <c r="X12">
        <v>638</v>
      </c>
      <c r="Y12">
        <v>705</v>
      </c>
      <c r="AJ12">
        <v>20</v>
      </c>
      <c r="AK12">
        <f>P22</f>
        <v>12.811666666666667</v>
      </c>
      <c r="AL12">
        <f t="shared" ref="AL12:AT12" si="7">Q22</f>
        <v>23.821666666666665</v>
      </c>
      <c r="AM12">
        <f t="shared" si="7"/>
        <v>30.116666666666664</v>
      </c>
      <c r="AN12">
        <f t="shared" si="7"/>
        <v>30.121666666666666</v>
      </c>
      <c r="AO12">
        <f t="shared" si="7"/>
        <v>30.66</v>
      </c>
      <c r="AP12">
        <f t="shared" si="7"/>
        <v>33.903333333333336</v>
      </c>
      <c r="AQ12">
        <f t="shared" si="7"/>
        <v>42.656666666666666</v>
      </c>
      <c r="AR12">
        <f t="shared" si="7"/>
        <v>48.023333333333333</v>
      </c>
      <c r="AS12">
        <f t="shared" si="7"/>
        <v>51.664999999999999</v>
      </c>
      <c r="AT12">
        <f t="shared" si="7"/>
        <v>52.938571428571429</v>
      </c>
    </row>
    <row r="13" spans="2:46" x14ac:dyDescent="0.5">
      <c r="B13">
        <v>0</v>
      </c>
      <c r="C13">
        <v>3.2650000000000006</v>
      </c>
      <c r="D13">
        <v>13.116666666666667</v>
      </c>
      <c r="E13">
        <v>20.805</v>
      </c>
      <c r="F13">
        <v>20.715</v>
      </c>
      <c r="G13">
        <v>21.681666666666661</v>
      </c>
      <c r="H13">
        <v>25.751666666666665</v>
      </c>
      <c r="I13">
        <v>34.428333333333327</v>
      </c>
      <c r="J13">
        <v>38.591666666666669</v>
      </c>
      <c r="K13">
        <v>41.831666666666671</v>
      </c>
      <c r="L13">
        <v>44.008333333333333</v>
      </c>
      <c r="O13">
        <v>0</v>
      </c>
      <c r="P13">
        <f>C13+3</f>
        <v>6.2650000000000006</v>
      </c>
      <c r="Q13">
        <f t="shared" ref="Q13:Y17" si="8">D13+3</f>
        <v>16.116666666666667</v>
      </c>
      <c r="R13">
        <f t="shared" si="8"/>
        <v>23.805</v>
      </c>
      <c r="S13">
        <f t="shared" si="8"/>
        <v>23.715</v>
      </c>
      <c r="T13">
        <f t="shared" si="8"/>
        <v>24.681666666666661</v>
      </c>
      <c r="U13">
        <f t="shared" si="8"/>
        <v>28.751666666666665</v>
      </c>
      <c r="V13">
        <f t="shared" si="8"/>
        <v>37.428333333333327</v>
      </c>
      <c r="W13">
        <f t="shared" si="8"/>
        <v>41.591666666666669</v>
      </c>
      <c r="X13">
        <f t="shared" si="8"/>
        <v>44.831666666666671</v>
      </c>
      <c r="Y13">
        <f t="shared" si="8"/>
        <v>47.008333333333333</v>
      </c>
    </row>
    <row r="14" spans="2:46" x14ac:dyDescent="0.5">
      <c r="B14">
        <v>20</v>
      </c>
      <c r="C14">
        <v>3.7366666666666664</v>
      </c>
      <c r="D14">
        <v>13.989999999999998</v>
      </c>
      <c r="E14">
        <v>20.028333333333332</v>
      </c>
      <c r="F14">
        <v>20.818333333333332</v>
      </c>
      <c r="G14">
        <v>21.58</v>
      </c>
      <c r="H14">
        <v>25.753333333333334</v>
      </c>
      <c r="I14">
        <v>34.62833333333333</v>
      </c>
      <c r="J14">
        <v>39.353333333333339</v>
      </c>
      <c r="K14">
        <v>42.926666666666669</v>
      </c>
      <c r="L14">
        <v>44.626666666666672</v>
      </c>
      <c r="O14">
        <v>20</v>
      </c>
      <c r="P14">
        <f t="shared" ref="P14:P17" si="9">C14+3</f>
        <v>6.7366666666666664</v>
      </c>
      <c r="Q14">
        <f t="shared" si="8"/>
        <v>16.989999999999998</v>
      </c>
      <c r="R14">
        <f t="shared" si="8"/>
        <v>23.028333333333332</v>
      </c>
      <c r="S14">
        <f t="shared" si="8"/>
        <v>23.818333333333332</v>
      </c>
      <c r="T14">
        <f t="shared" si="8"/>
        <v>24.58</v>
      </c>
      <c r="U14">
        <f t="shared" si="8"/>
        <v>28.753333333333334</v>
      </c>
      <c r="V14">
        <f t="shared" si="8"/>
        <v>37.62833333333333</v>
      </c>
      <c r="W14">
        <f t="shared" si="8"/>
        <v>42.353333333333339</v>
      </c>
      <c r="X14">
        <f t="shared" si="8"/>
        <v>45.926666666666669</v>
      </c>
      <c r="Y14">
        <f t="shared" si="8"/>
        <v>47.626666666666672</v>
      </c>
      <c r="AJ14">
        <v>40</v>
      </c>
      <c r="AK14">
        <f>P7</f>
        <v>9.6357142857142861</v>
      </c>
      <c r="AL14">
        <f t="shared" ref="AL14:AT14" si="10">Q7</f>
        <v>21.548333333333336</v>
      </c>
      <c r="AM14">
        <f t="shared" si="10"/>
        <v>26.096666666666668</v>
      </c>
      <c r="AN14">
        <f t="shared" si="10"/>
        <v>24.96166666666667</v>
      </c>
      <c r="AO14">
        <f t="shared" si="10"/>
        <v>25.654000000000003</v>
      </c>
      <c r="AP14">
        <f t="shared" si="10"/>
        <v>25.823333333333334</v>
      </c>
      <c r="AQ14">
        <f t="shared" si="10"/>
        <v>30.08666666666667</v>
      </c>
      <c r="AR14">
        <f t="shared" si="10"/>
        <v>33.525000000000006</v>
      </c>
      <c r="AS14">
        <f t="shared" si="10"/>
        <v>37.265000000000001</v>
      </c>
      <c r="AT14">
        <f t="shared" si="10"/>
        <v>39.099999999999994</v>
      </c>
    </row>
    <row r="15" spans="2:46" x14ac:dyDescent="0.5">
      <c r="B15">
        <v>40</v>
      </c>
      <c r="C15">
        <v>14.216666666666667</v>
      </c>
      <c r="D15">
        <v>25.001666666666665</v>
      </c>
      <c r="E15">
        <v>27.765000000000001</v>
      </c>
      <c r="F15">
        <v>27.734999999999999</v>
      </c>
      <c r="G15">
        <v>27.024999999999995</v>
      </c>
      <c r="H15">
        <v>28.421428571428571</v>
      </c>
      <c r="I15">
        <v>33.331428571428575</v>
      </c>
      <c r="J15">
        <v>38.200000000000003</v>
      </c>
      <c r="K15">
        <v>41.255000000000003</v>
      </c>
      <c r="L15">
        <v>42.701666666666668</v>
      </c>
      <c r="O15">
        <v>40</v>
      </c>
      <c r="P15">
        <f t="shared" si="9"/>
        <v>17.216666666666669</v>
      </c>
      <c r="Q15">
        <f t="shared" si="8"/>
        <v>28.001666666666665</v>
      </c>
      <c r="R15">
        <f t="shared" si="8"/>
        <v>30.765000000000001</v>
      </c>
      <c r="S15">
        <f t="shared" si="8"/>
        <v>30.734999999999999</v>
      </c>
      <c r="T15">
        <f t="shared" si="8"/>
        <v>30.024999999999995</v>
      </c>
      <c r="U15">
        <f t="shared" si="8"/>
        <v>31.421428571428571</v>
      </c>
      <c r="V15">
        <f t="shared" si="8"/>
        <v>36.331428571428575</v>
      </c>
      <c r="W15">
        <f t="shared" si="8"/>
        <v>41.2</v>
      </c>
      <c r="X15">
        <f t="shared" si="8"/>
        <v>44.255000000000003</v>
      </c>
      <c r="Y15">
        <f t="shared" si="8"/>
        <v>45.701666666666668</v>
      </c>
      <c r="AJ15">
        <v>40</v>
      </c>
      <c r="AK15">
        <f>P15</f>
        <v>17.216666666666669</v>
      </c>
      <c r="AL15">
        <f t="shared" ref="AL15:AT15" si="11">Q15</f>
        <v>28.001666666666665</v>
      </c>
      <c r="AM15">
        <f t="shared" si="11"/>
        <v>30.765000000000001</v>
      </c>
      <c r="AN15">
        <f t="shared" si="11"/>
        <v>30.734999999999999</v>
      </c>
      <c r="AO15">
        <f t="shared" si="11"/>
        <v>30.024999999999995</v>
      </c>
      <c r="AP15">
        <f t="shared" si="11"/>
        <v>31.421428571428571</v>
      </c>
      <c r="AQ15">
        <f t="shared" si="11"/>
        <v>36.331428571428575</v>
      </c>
      <c r="AR15">
        <f t="shared" si="11"/>
        <v>41.2</v>
      </c>
      <c r="AS15">
        <f t="shared" si="11"/>
        <v>44.255000000000003</v>
      </c>
      <c r="AT15">
        <f t="shared" si="11"/>
        <v>45.701666666666668</v>
      </c>
    </row>
    <row r="16" spans="2:46" x14ac:dyDescent="0.5">
      <c r="B16">
        <v>60</v>
      </c>
      <c r="C16">
        <v>17.873333333333331</v>
      </c>
      <c r="D16">
        <v>25.866666666666664</v>
      </c>
      <c r="E16">
        <v>28.888333333333332</v>
      </c>
      <c r="F16">
        <v>28.298333333333332</v>
      </c>
      <c r="G16">
        <v>28.22</v>
      </c>
      <c r="H16">
        <v>28.46833333333333</v>
      </c>
      <c r="I16">
        <v>32.688333333333333</v>
      </c>
      <c r="J16">
        <v>38.126666666666665</v>
      </c>
      <c r="K16">
        <v>41.265000000000001</v>
      </c>
      <c r="L16">
        <v>43.076666666666661</v>
      </c>
      <c r="O16">
        <v>60</v>
      </c>
      <c r="P16">
        <f t="shared" si="9"/>
        <v>20.873333333333331</v>
      </c>
      <c r="Q16">
        <f t="shared" si="8"/>
        <v>28.866666666666664</v>
      </c>
      <c r="R16">
        <f t="shared" si="8"/>
        <v>31.888333333333332</v>
      </c>
      <c r="S16">
        <f t="shared" si="8"/>
        <v>31.298333333333332</v>
      </c>
      <c r="T16">
        <f t="shared" si="8"/>
        <v>31.22</v>
      </c>
      <c r="U16">
        <f t="shared" si="8"/>
        <v>31.46833333333333</v>
      </c>
      <c r="V16">
        <f t="shared" si="8"/>
        <v>35.688333333333333</v>
      </c>
      <c r="W16">
        <f t="shared" si="8"/>
        <v>41.126666666666665</v>
      </c>
      <c r="X16">
        <f t="shared" si="8"/>
        <v>44.265000000000001</v>
      </c>
      <c r="Y16">
        <f t="shared" si="8"/>
        <v>46.076666666666661</v>
      </c>
      <c r="AJ16">
        <v>40</v>
      </c>
      <c r="AK16">
        <f>P23</f>
        <v>19.376666666666665</v>
      </c>
      <c r="AL16">
        <f t="shared" ref="AL16:AT16" si="12">Q23</f>
        <v>32.066666666666663</v>
      </c>
      <c r="AM16">
        <f t="shared" si="12"/>
        <v>35.558333333333337</v>
      </c>
      <c r="AN16">
        <f t="shared" si="12"/>
        <v>34.950000000000003</v>
      </c>
      <c r="AO16">
        <f t="shared" si="12"/>
        <v>35.319999999999993</v>
      </c>
      <c r="AP16">
        <f t="shared" si="12"/>
        <v>36.36666666666666</v>
      </c>
      <c r="AQ16">
        <f t="shared" si="12"/>
        <v>41.275000000000006</v>
      </c>
      <c r="AR16">
        <f t="shared" si="12"/>
        <v>46.01</v>
      </c>
      <c r="AS16">
        <f t="shared" si="12"/>
        <v>48.55</v>
      </c>
      <c r="AT16">
        <f t="shared" si="12"/>
        <v>50.055</v>
      </c>
    </row>
    <row r="17" spans="2:46" x14ac:dyDescent="0.5">
      <c r="B17">
        <v>80</v>
      </c>
      <c r="C17">
        <v>16.728333333333335</v>
      </c>
      <c r="D17">
        <v>24.74</v>
      </c>
      <c r="E17">
        <v>28.301666666666666</v>
      </c>
      <c r="F17">
        <v>28.44</v>
      </c>
      <c r="G17">
        <v>27.635000000000002</v>
      </c>
      <c r="H17">
        <v>27.090000000000003</v>
      </c>
      <c r="I17">
        <v>31.546666666666667</v>
      </c>
      <c r="J17">
        <v>37.75333333333333</v>
      </c>
      <c r="K17">
        <v>41.37</v>
      </c>
      <c r="L17">
        <v>42.831666666666671</v>
      </c>
      <c r="O17">
        <v>80</v>
      </c>
      <c r="P17">
        <f t="shared" si="9"/>
        <v>19.728333333333335</v>
      </c>
      <c r="Q17">
        <f t="shared" si="8"/>
        <v>27.74</v>
      </c>
      <c r="R17">
        <f t="shared" si="8"/>
        <v>31.301666666666666</v>
      </c>
      <c r="S17">
        <f t="shared" si="8"/>
        <v>31.44</v>
      </c>
      <c r="T17">
        <f t="shared" si="8"/>
        <v>30.635000000000002</v>
      </c>
      <c r="U17">
        <f t="shared" si="8"/>
        <v>30.090000000000003</v>
      </c>
      <c r="V17">
        <f t="shared" si="8"/>
        <v>34.546666666666667</v>
      </c>
      <c r="W17">
        <f t="shared" si="8"/>
        <v>40.75333333333333</v>
      </c>
      <c r="X17">
        <f t="shared" si="8"/>
        <v>44.37</v>
      </c>
      <c r="Y17">
        <f t="shared" si="8"/>
        <v>45.831666666666671</v>
      </c>
    </row>
    <row r="18" spans="2:46" x14ac:dyDescent="0.5">
      <c r="AJ18">
        <v>60</v>
      </c>
      <c r="AK18">
        <f>P8</f>
        <v>12.658333333333333</v>
      </c>
      <c r="AL18">
        <f t="shared" ref="AL18:AT18" si="13">Q8</f>
        <v>22.043333333333333</v>
      </c>
      <c r="AM18">
        <f t="shared" si="13"/>
        <v>26.345000000000002</v>
      </c>
      <c r="AN18">
        <f t="shared" si="13"/>
        <v>26.028333333333336</v>
      </c>
      <c r="AO18">
        <f t="shared" si="13"/>
        <v>24.781666666666666</v>
      </c>
      <c r="AP18">
        <f t="shared" si="13"/>
        <v>25.408333333333335</v>
      </c>
      <c r="AQ18">
        <f t="shared" si="13"/>
        <v>28.816666666666666</v>
      </c>
      <c r="AR18">
        <f t="shared" si="13"/>
        <v>32.858333333333334</v>
      </c>
      <c r="AS18">
        <f t="shared" si="13"/>
        <v>35.736000000000004</v>
      </c>
      <c r="AT18">
        <f t="shared" si="13"/>
        <v>39.105000000000004</v>
      </c>
    </row>
    <row r="19" spans="2:46" x14ac:dyDescent="0.5">
      <c r="B19" s="5" t="s">
        <v>13</v>
      </c>
      <c r="C19" s="5"/>
      <c r="D19" s="5"/>
      <c r="E19" s="5"/>
      <c r="F19" s="5"/>
      <c r="G19" s="5"/>
      <c r="H19" s="5"/>
      <c r="I19" s="5"/>
      <c r="J19" s="5"/>
      <c r="K19" s="5"/>
      <c r="L19" s="5"/>
      <c r="O19" s="5" t="s">
        <v>13</v>
      </c>
      <c r="P19" s="5"/>
      <c r="Q19" s="5"/>
      <c r="R19" s="5"/>
      <c r="S19" s="5"/>
      <c r="T19" s="5"/>
      <c r="U19" s="5"/>
      <c r="V19" s="5"/>
      <c r="W19" s="5"/>
      <c r="X19" s="5"/>
      <c r="Y19" s="5"/>
      <c r="AJ19">
        <v>60</v>
      </c>
      <c r="AK19">
        <f>P16</f>
        <v>20.873333333333331</v>
      </c>
      <c r="AL19">
        <f t="shared" ref="AL19:AT19" si="14">Q16</f>
        <v>28.866666666666664</v>
      </c>
      <c r="AM19">
        <f t="shared" si="14"/>
        <v>31.888333333333332</v>
      </c>
      <c r="AN19">
        <f t="shared" si="14"/>
        <v>31.298333333333332</v>
      </c>
      <c r="AO19">
        <f t="shared" si="14"/>
        <v>31.22</v>
      </c>
      <c r="AP19">
        <f t="shared" si="14"/>
        <v>31.46833333333333</v>
      </c>
      <c r="AQ19">
        <f t="shared" si="14"/>
        <v>35.688333333333333</v>
      </c>
      <c r="AR19">
        <f t="shared" si="14"/>
        <v>41.126666666666665</v>
      </c>
      <c r="AS19">
        <f t="shared" si="14"/>
        <v>44.265000000000001</v>
      </c>
      <c r="AT19">
        <f t="shared" si="14"/>
        <v>46.076666666666661</v>
      </c>
    </row>
    <row r="20" spans="2:46" x14ac:dyDescent="0.5">
      <c r="C20">
        <v>73</v>
      </c>
      <c r="D20">
        <v>120</v>
      </c>
      <c r="E20">
        <v>164</v>
      </c>
      <c r="F20">
        <v>256</v>
      </c>
      <c r="G20">
        <v>353</v>
      </c>
      <c r="H20">
        <v>427</v>
      </c>
      <c r="I20">
        <v>522</v>
      </c>
      <c r="J20">
        <v>586</v>
      </c>
      <c r="K20">
        <v>638</v>
      </c>
      <c r="L20">
        <v>705</v>
      </c>
      <c r="P20">
        <v>73</v>
      </c>
      <c r="Q20">
        <v>120</v>
      </c>
      <c r="R20">
        <v>164</v>
      </c>
      <c r="S20">
        <v>256</v>
      </c>
      <c r="T20">
        <v>353</v>
      </c>
      <c r="U20">
        <v>427</v>
      </c>
      <c r="V20">
        <v>522</v>
      </c>
      <c r="W20">
        <v>586</v>
      </c>
      <c r="X20">
        <v>638</v>
      </c>
      <c r="Y20">
        <v>705</v>
      </c>
      <c r="AJ20">
        <v>60</v>
      </c>
      <c r="AK20">
        <f>P24</f>
        <v>26.322857142857142</v>
      </c>
      <c r="AL20">
        <f t="shared" ref="AL20:AT20" si="15">Q24</f>
        <v>34.066666666666663</v>
      </c>
      <c r="AM20">
        <f t="shared" si="15"/>
        <v>37.283333333333331</v>
      </c>
      <c r="AN20">
        <f t="shared" si="15"/>
        <v>37.064999999999998</v>
      </c>
      <c r="AO20">
        <f t="shared" si="15"/>
        <v>36.408333333333331</v>
      </c>
      <c r="AP20">
        <f t="shared" si="15"/>
        <v>36.971666666666664</v>
      </c>
      <c r="AQ20">
        <f t="shared" si="15"/>
        <v>41.601666666666674</v>
      </c>
      <c r="AR20">
        <f t="shared" si="15"/>
        <v>46.326666666666668</v>
      </c>
      <c r="AS20">
        <f t="shared" si="15"/>
        <v>49.234999999999999</v>
      </c>
      <c r="AT20">
        <f t="shared" si="15"/>
        <v>51.543333333333337</v>
      </c>
    </row>
    <row r="21" spans="2:46" x14ac:dyDescent="0.5">
      <c r="B21">
        <v>0</v>
      </c>
      <c r="C21">
        <v>3.7666666666666662</v>
      </c>
      <c r="D21">
        <v>14.151666666666666</v>
      </c>
      <c r="E21">
        <v>21.705714285714286</v>
      </c>
      <c r="F21">
        <v>22.258333333333336</v>
      </c>
      <c r="G21">
        <v>23.161999999999999</v>
      </c>
      <c r="H21">
        <v>27.276666666666667</v>
      </c>
      <c r="I21">
        <v>36.643333333333331</v>
      </c>
      <c r="J21">
        <v>41.594999999999999</v>
      </c>
      <c r="K21">
        <v>44.341666666666669</v>
      </c>
      <c r="L21">
        <v>46.448333333333331</v>
      </c>
      <c r="O21">
        <v>0</v>
      </c>
      <c r="P21">
        <f>C21+6</f>
        <v>9.7666666666666657</v>
      </c>
      <c r="Q21">
        <f t="shared" ref="Q21:Y25" si="16">D21+6</f>
        <v>20.151666666666664</v>
      </c>
      <c r="R21">
        <f t="shared" si="16"/>
        <v>27.705714285714286</v>
      </c>
      <c r="S21">
        <f t="shared" si="16"/>
        <v>28.258333333333336</v>
      </c>
      <c r="T21">
        <f t="shared" si="16"/>
        <v>29.161999999999999</v>
      </c>
      <c r="U21">
        <f t="shared" si="16"/>
        <v>33.276666666666671</v>
      </c>
      <c r="V21">
        <f t="shared" si="16"/>
        <v>42.643333333333331</v>
      </c>
      <c r="W21">
        <f t="shared" si="16"/>
        <v>47.594999999999999</v>
      </c>
      <c r="X21">
        <f t="shared" si="16"/>
        <v>50.341666666666669</v>
      </c>
      <c r="Y21">
        <f t="shared" si="16"/>
        <v>52.448333333333331</v>
      </c>
    </row>
    <row r="22" spans="2:46" x14ac:dyDescent="0.5">
      <c r="B22">
        <v>20</v>
      </c>
      <c r="C22">
        <v>6.8116666666666674</v>
      </c>
      <c r="D22">
        <v>17.821666666666665</v>
      </c>
      <c r="E22">
        <v>24.116666666666664</v>
      </c>
      <c r="F22">
        <v>24.121666666666666</v>
      </c>
      <c r="G22">
        <v>24.66</v>
      </c>
      <c r="H22">
        <v>27.903333333333332</v>
      </c>
      <c r="I22">
        <v>36.656666666666666</v>
      </c>
      <c r="J22">
        <v>42.023333333333333</v>
      </c>
      <c r="K22">
        <v>45.664999999999999</v>
      </c>
      <c r="L22">
        <v>46.938571428571429</v>
      </c>
      <c r="O22">
        <v>20</v>
      </c>
      <c r="P22">
        <f t="shared" ref="P22:P25" si="17">C22+6</f>
        <v>12.811666666666667</v>
      </c>
      <c r="Q22">
        <f t="shared" si="16"/>
        <v>23.821666666666665</v>
      </c>
      <c r="R22">
        <f t="shared" si="16"/>
        <v>30.116666666666664</v>
      </c>
      <c r="S22">
        <f t="shared" si="16"/>
        <v>30.121666666666666</v>
      </c>
      <c r="T22">
        <f t="shared" si="16"/>
        <v>30.66</v>
      </c>
      <c r="U22">
        <f t="shared" si="16"/>
        <v>33.903333333333336</v>
      </c>
      <c r="V22">
        <f t="shared" si="16"/>
        <v>42.656666666666666</v>
      </c>
      <c r="W22">
        <f t="shared" si="16"/>
        <v>48.023333333333333</v>
      </c>
      <c r="X22">
        <f t="shared" si="16"/>
        <v>51.664999999999999</v>
      </c>
      <c r="Y22">
        <f t="shared" si="16"/>
        <v>52.938571428571429</v>
      </c>
      <c r="AJ22">
        <v>80</v>
      </c>
      <c r="AK22">
        <f>P9</f>
        <v>14.213333333333333</v>
      </c>
      <c r="AL22">
        <f t="shared" ref="AL22:AT22" si="18">Q9</f>
        <v>22.296666666666667</v>
      </c>
      <c r="AM22">
        <f t="shared" si="18"/>
        <v>26.086666666666662</v>
      </c>
      <c r="AN22">
        <f t="shared" si="18"/>
        <v>25.221666666666668</v>
      </c>
      <c r="AO22">
        <f t="shared" si="18"/>
        <v>24.901666666666667</v>
      </c>
      <c r="AP22">
        <f t="shared" si="18"/>
        <v>24.583333333333332</v>
      </c>
      <c r="AQ22">
        <f t="shared" si="18"/>
        <v>27.993333333333336</v>
      </c>
      <c r="AR22">
        <f t="shared" si="18"/>
        <v>33.773333333333326</v>
      </c>
      <c r="AS22">
        <f t="shared" si="18"/>
        <v>37.555000000000007</v>
      </c>
      <c r="AT22">
        <f t="shared" si="18"/>
        <v>39.961666666666673</v>
      </c>
    </row>
    <row r="23" spans="2:46" x14ac:dyDescent="0.5">
      <c r="B23">
        <v>40</v>
      </c>
      <c r="C23">
        <v>13.376666666666667</v>
      </c>
      <c r="D23">
        <v>26.066666666666663</v>
      </c>
      <c r="E23">
        <v>29.558333333333334</v>
      </c>
      <c r="F23">
        <v>28.95</v>
      </c>
      <c r="G23">
        <v>29.319999999999997</v>
      </c>
      <c r="H23">
        <v>30.366666666666664</v>
      </c>
      <c r="I23">
        <v>35.275000000000006</v>
      </c>
      <c r="J23">
        <v>40.01</v>
      </c>
      <c r="K23">
        <v>42.55</v>
      </c>
      <c r="L23">
        <v>44.055</v>
      </c>
      <c r="O23">
        <v>40</v>
      </c>
      <c r="P23">
        <f t="shared" si="17"/>
        <v>19.376666666666665</v>
      </c>
      <c r="Q23">
        <f t="shared" si="16"/>
        <v>32.066666666666663</v>
      </c>
      <c r="R23">
        <f t="shared" si="16"/>
        <v>35.558333333333337</v>
      </c>
      <c r="S23">
        <f t="shared" si="16"/>
        <v>34.950000000000003</v>
      </c>
      <c r="T23">
        <f t="shared" si="16"/>
        <v>35.319999999999993</v>
      </c>
      <c r="U23">
        <f t="shared" si="16"/>
        <v>36.36666666666666</v>
      </c>
      <c r="V23">
        <f t="shared" si="16"/>
        <v>41.275000000000006</v>
      </c>
      <c r="W23">
        <f t="shared" si="16"/>
        <v>46.01</v>
      </c>
      <c r="X23">
        <f t="shared" si="16"/>
        <v>48.55</v>
      </c>
      <c r="Y23">
        <f t="shared" si="16"/>
        <v>50.055</v>
      </c>
      <c r="AJ23">
        <v>80</v>
      </c>
      <c r="AK23">
        <f>P17</f>
        <v>19.728333333333335</v>
      </c>
      <c r="AL23">
        <f t="shared" ref="AL23:AT23" si="19">Q17</f>
        <v>27.74</v>
      </c>
      <c r="AM23">
        <f t="shared" si="19"/>
        <v>31.301666666666666</v>
      </c>
      <c r="AN23">
        <f t="shared" si="19"/>
        <v>31.44</v>
      </c>
      <c r="AO23">
        <f t="shared" si="19"/>
        <v>30.635000000000002</v>
      </c>
      <c r="AP23">
        <f t="shared" si="19"/>
        <v>30.090000000000003</v>
      </c>
      <c r="AQ23">
        <f t="shared" si="19"/>
        <v>34.546666666666667</v>
      </c>
      <c r="AR23">
        <f t="shared" si="19"/>
        <v>40.75333333333333</v>
      </c>
      <c r="AS23">
        <f t="shared" si="19"/>
        <v>44.37</v>
      </c>
      <c r="AT23">
        <f t="shared" si="19"/>
        <v>45.831666666666671</v>
      </c>
    </row>
    <row r="24" spans="2:46" x14ac:dyDescent="0.5">
      <c r="B24">
        <v>60</v>
      </c>
      <c r="C24">
        <v>20.322857142857142</v>
      </c>
      <c r="D24">
        <v>28.066666666666666</v>
      </c>
      <c r="E24">
        <v>31.283333333333335</v>
      </c>
      <c r="F24">
        <v>31.065000000000001</v>
      </c>
      <c r="G24">
        <v>30.408333333333335</v>
      </c>
      <c r="H24">
        <v>30.971666666666668</v>
      </c>
      <c r="I24">
        <v>35.601666666666674</v>
      </c>
      <c r="J24">
        <v>40.326666666666668</v>
      </c>
      <c r="K24">
        <v>43.234999999999999</v>
      </c>
      <c r="L24">
        <v>45.543333333333337</v>
      </c>
      <c r="O24">
        <v>60</v>
      </c>
      <c r="P24">
        <f t="shared" si="17"/>
        <v>26.322857142857142</v>
      </c>
      <c r="Q24">
        <f t="shared" si="16"/>
        <v>34.066666666666663</v>
      </c>
      <c r="R24">
        <f t="shared" si="16"/>
        <v>37.283333333333331</v>
      </c>
      <c r="S24">
        <f t="shared" si="16"/>
        <v>37.064999999999998</v>
      </c>
      <c r="T24">
        <f t="shared" si="16"/>
        <v>36.408333333333331</v>
      </c>
      <c r="U24">
        <f t="shared" si="16"/>
        <v>36.971666666666664</v>
      </c>
      <c r="V24">
        <f t="shared" si="16"/>
        <v>41.601666666666674</v>
      </c>
      <c r="W24">
        <f t="shared" si="16"/>
        <v>46.326666666666668</v>
      </c>
      <c r="X24">
        <f t="shared" si="16"/>
        <v>49.234999999999999</v>
      </c>
      <c r="Y24">
        <f t="shared" si="16"/>
        <v>51.543333333333337</v>
      </c>
      <c r="AJ24">
        <v>80</v>
      </c>
      <c r="AK24">
        <f>P25</f>
        <v>27.146666666666665</v>
      </c>
      <c r="AL24">
        <f t="shared" ref="AL24:AT24" si="20">Q25</f>
        <v>34.200000000000003</v>
      </c>
      <c r="AM24">
        <f t="shared" si="20"/>
        <v>37.934999999999988</v>
      </c>
      <c r="AN24">
        <f t="shared" si="20"/>
        <v>37.776666666666671</v>
      </c>
      <c r="AO24">
        <f t="shared" si="20"/>
        <v>36.783333333333331</v>
      </c>
      <c r="AP24">
        <f t="shared" si="20"/>
        <v>37.101666666666659</v>
      </c>
      <c r="AQ24">
        <f t="shared" si="20"/>
        <v>41.944999999999993</v>
      </c>
      <c r="AR24">
        <f t="shared" si="20"/>
        <v>47.466666666666669</v>
      </c>
      <c r="AS24">
        <f t="shared" si="20"/>
        <v>51.028333333333329</v>
      </c>
      <c r="AT24">
        <f t="shared" si="20"/>
        <v>52.46</v>
      </c>
    </row>
    <row r="25" spans="2:46" x14ac:dyDescent="0.5">
      <c r="B25">
        <v>80</v>
      </c>
      <c r="C25">
        <v>21.146666666666665</v>
      </c>
      <c r="D25">
        <v>28.2</v>
      </c>
      <c r="E25">
        <v>31.934999999999992</v>
      </c>
      <c r="F25">
        <v>31.776666666666667</v>
      </c>
      <c r="G25">
        <v>30.783333333333331</v>
      </c>
      <c r="H25">
        <v>31.101666666666663</v>
      </c>
      <c r="I25">
        <v>35.944999999999993</v>
      </c>
      <c r="J25">
        <v>41.466666666666669</v>
      </c>
      <c r="K25">
        <v>45.028333333333329</v>
      </c>
      <c r="L25">
        <v>46.46</v>
      </c>
      <c r="O25">
        <v>80</v>
      </c>
      <c r="P25">
        <f t="shared" si="17"/>
        <v>27.146666666666665</v>
      </c>
      <c r="Q25">
        <f t="shared" si="16"/>
        <v>34.200000000000003</v>
      </c>
      <c r="R25">
        <f t="shared" si="16"/>
        <v>37.934999999999988</v>
      </c>
      <c r="S25">
        <f t="shared" si="16"/>
        <v>37.776666666666671</v>
      </c>
      <c r="T25">
        <f t="shared" si="16"/>
        <v>36.783333333333331</v>
      </c>
      <c r="U25">
        <f t="shared" si="16"/>
        <v>37.101666666666659</v>
      </c>
      <c r="V25">
        <f t="shared" si="16"/>
        <v>41.944999999999993</v>
      </c>
      <c r="W25">
        <f t="shared" si="16"/>
        <v>47.466666666666669</v>
      </c>
      <c r="X25">
        <f t="shared" si="16"/>
        <v>51.028333333333329</v>
      </c>
      <c r="Y25">
        <f t="shared" si="16"/>
        <v>52.46</v>
      </c>
    </row>
    <row r="27" spans="2:46" x14ac:dyDescent="0.5">
      <c r="U27" t="s">
        <v>18</v>
      </c>
      <c r="V27" t="s">
        <v>8</v>
      </c>
    </row>
    <row r="28" spans="2:46" x14ac:dyDescent="0.5">
      <c r="U28" s="1" t="s">
        <v>19</v>
      </c>
      <c r="V28" t="s">
        <v>9</v>
      </c>
      <c r="W28" s="1"/>
      <c r="X28" s="1"/>
      <c r="Y28" s="1"/>
      <c r="Z28" s="1"/>
      <c r="AA28" s="1"/>
      <c r="AB28" s="1"/>
      <c r="AC28" s="1"/>
      <c r="AD28" s="1"/>
    </row>
    <row r="29" spans="2:46" x14ac:dyDescent="0.5">
      <c r="U29" t="s">
        <v>20</v>
      </c>
      <c r="V29" t="s">
        <v>10</v>
      </c>
    </row>
    <row r="30" spans="2:46" x14ac:dyDescent="0.5">
      <c r="U30" t="s">
        <v>21</v>
      </c>
      <c r="V30" t="s">
        <v>11</v>
      </c>
    </row>
    <row r="31" spans="2:46" x14ac:dyDescent="0.5">
      <c r="U31" t="s">
        <v>22</v>
      </c>
      <c r="V31" t="s">
        <v>12</v>
      </c>
    </row>
    <row r="32" spans="2:46" x14ac:dyDescent="0.5">
      <c r="U32" t="s">
        <v>23</v>
      </c>
    </row>
    <row r="33" spans="21:21" x14ac:dyDescent="0.5">
      <c r="U33" t="s">
        <v>24</v>
      </c>
    </row>
    <row r="34" spans="21:21" x14ac:dyDescent="0.5">
      <c r="U34" t="s">
        <v>25</v>
      </c>
    </row>
    <row r="35" spans="21:21" x14ac:dyDescent="0.5">
      <c r="U35" t="s">
        <v>26</v>
      </c>
    </row>
    <row r="36" spans="21:21" x14ac:dyDescent="0.5">
      <c r="U36" t="s">
        <v>27</v>
      </c>
    </row>
  </sheetData>
  <mergeCells count="8">
    <mergeCell ref="B19:L19"/>
    <mergeCell ref="O19:Y19"/>
    <mergeCell ref="B2:L2"/>
    <mergeCell ref="O2:Y2"/>
    <mergeCell ref="B3:L3"/>
    <mergeCell ref="O3:Y3"/>
    <mergeCell ref="B11:L11"/>
    <mergeCell ref="O11:Y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DC1D-1D53-4F24-92CA-BE245790F7F9}">
  <dimension ref="B1:AK107"/>
  <sheetViews>
    <sheetView zoomScale="70" zoomScaleNormal="85" workbookViewId="0">
      <selection activeCell="O26" sqref="O26:O30"/>
    </sheetView>
  </sheetViews>
  <sheetFormatPr defaultRowHeight="14.35" x14ac:dyDescent="0.5"/>
  <sheetData>
    <row r="1" spans="2:37" x14ac:dyDescent="0.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37" x14ac:dyDescent="0.5">
      <c r="B2" t="s">
        <v>1</v>
      </c>
      <c r="C2">
        <v>74</v>
      </c>
      <c r="D2">
        <v>69</v>
      </c>
      <c r="E2">
        <v>62</v>
      </c>
      <c r="F2">
        <v>57</v>
      </c>
      <c r="G2">
        <v>53</v>
      </c>
      <c r="H2">
        <v>50</v>
      </c>
      <c r="I2">
        <v>47</v>
      </c>
      <c r="J2">
        <v>45</v>
      </c>
      <c r="K2">
        <v>43</v>
      </c>
      <c r="L2">
        <v>41</v>
      </c>
    </row>
    <row r="3" spans="2:37" x14ac:dyDescent="0.5">
      <c r="B3" t="s">
        <v>2</v>
      </c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>
        <v>73</v>
      </c>
      <c r="Q3">
        <v>120</v>
      </c>
      <c r="R3">
        <v>164</v>
      </c>
      <c r="S3">
        <v>256</v>
      </c>
      <c r="T3">
        <v>353</v>
      </c>
      <c r="U3">
        <v>427</v>
      </c>
      <c r="V3">
        <v>522</v>
      </c>
      <c r="W3">
        <v>586</v>
      </c>
      <c r="X3">
        <v>638</v>
      </c>
      <c r="Y3">
        <v>705</v>
      </c>
      <c r="AB3">
        <v>73</v>
      </c>
      <c r="AC3">
        <v>120</v>
      </c>
      <c r="AD3">
        <v>164</v>
      </c>
      <c r="AE3">
        <v>256</v>
      </c>
      <c r="AF3">
        <v>353</v>
      </c>
      <c r="AG3">
        <v>427</v>
      </c>
      <c r="AH3">
        <v>522</v>
      </c>
      <c r="AI3">
        <v>586</v>
      </c>
      <c r="AJ3">
        <v>638</v>
      </c>
      <c r="AK3">
        <v>705</v>
      </c>
    </row>
    <row r="4" spans="2:37" x14ac:dyDescent="0.5">
      <c r="B4" t="s">
        <v>3</v>
      </c>
      <c r="C4">
        <v>3</v>
      </c>
      <c r="D4">
        <v>4</v>
      </c>
      <c r="E4">
        <v>6</v>
      </c>
      <c r="F4">
        <v>8</v>
      </c>
      <c r="G4">
        <v>10</v>
      </c>
      <c r="H4">
        <v>12</v>
      </c>
      <c r="I4">
        <v>14</v>
      </c>
      <c r="J4">
        <v>16</v>
      </c>
      <c r="K4">
        <v>18</v>
      </c>
      <c r="L4">
        <v>20</v>
      </c>
      <c r="O4" t="s">
        <v>8</v>
      </c>
      <c r="P4">
        <f>C20</f>
        <v>5.2166666666666668</v>
      </c>
      <c r="Q4">
        <f t="shared" ref="Q4:Y4" si="0">D20</f>
        <v>15.527500000000002</v>
      </c>
      <c r="R4">
        <f t="shared" si="0"/>
        <v>22.46846153846154</v>
      </c>
      <c r="S4">
        <f t="shared" si="0"/>
        <v>23.187272727272727</v>
      </c>
      <c r="T4">
        <f t="shared" si="0"/>
        <v>23.948999999999998</v>
      </c>
      <c r="U4">
        <f t="shared" si="0"/>
        <v>28.023333333333333</v>
      </c>
      <c r="V4">
        <f t="shared" si="0"/>
        <v>37.196363636363628</v>
      </c>
      <c r="W4">
        <f t="shared" si="0"/>
        <v>42.217272727272729</v>
      </c>
      <c r="X4">
        <f t="shared" si="0"/>
        <v>45.014545454545456</v>
      </c>
      <c r="Y4">
        <f t="shared" si="0"/>
        <v>46.974166666666662</v>
      </c>
      <c r="AA4" t="s">
        <v>8</v>
      </c>
      <c r="AB4">
        <f>P4+6</f>
        <v>11.216666666666667</v>
      </c>
      <c r="AC4">
        <f t="shared" ref="AC4:AK8" si="1">Q4+6</f>
        <v>21.527500000000003</v>
      </c>
      <c r="AD4">
        <f t="shared" si="1"/>
        <v>28.46846153846154</v>
      </c>
      <c r="AE4">
        <f t="shared" si="1"/>
        <v>29.187272727272727</v>
      </c>
      <c r="AF4">
        <f t="shared" si="1"/>
        <v>29.948999999999998</v>
      </c>
      <c r="AG4">
        <f t="shared" si="1"/>
        <v>34.023333333333333</v>
      </c>
      <c r="AH4">
        <f t="shared" si="1"/>
        <v>43.196363636363628</v>
      </c>
      <c r="AI4">
        <f t="shared" si="1"/>
        <v>48.217272727272729</v>
      </c>
      <c r="AJ4">
        <f t="shared" si="1"/>
        <v>51.014545454545456</v>
      </c>
      <c r="AK4">
        <f t="shared" si="1"/>
        <v>52.974166666666662</v>
      </c>
    </row>
    <row r="5" spans="2:37" x14ac:dyDescent="0.5">
      <c r="C5">
        <v>4.28</v>
      </c>
      <c r="D5">
        <v>14.22</v>
      </c>
      <c r="E5">
        <v>21.8</v>
      </c>
      <c r="F5">
        <v>22.73</v>
      </c>
      <c r="G5">
        <v>23.51</v>
      </c>
      <c r="H5">
        <v>19.899999999999999</v>
      </c>
      <c r="I5">
        <v>29.26</v>
      </c>
      <c r="J5">
        <v>33.630000000000003</v>
      </c>
      <c r="K5">
        <v>37.299999999999997</v>
      </c>
      <c r="L5">
        <v>39.25</v>
      </c>
      <c r="O5" t="s">
        <v>9</v>
      </c>
      <c r="P5">
        <f>C42</f>
        <v>8.4</v>
      </c>
      <c r="Q5">
        <f t="shared" ref="Q5:Y5" si="2">D42</f>
        <v>20.265833333333333</v>
      </c>
      <c r="R5">
        <f t="shared" si="2"/>
        <v>25.648181818181818</v>
      </c>
      <c r="S5">
        <f t="shared" si="2"/>
        <v>25.855454545454542</v>
      </c>
      <c r="T5">
        <f t="shared" si="2"/>
        <v>24.66</v>
      </c>
      <c r="U5">
        <f t="shared" si="2"/>
        <v>28.689999999999998</v>
      </c>
      <c r="V5">
        <f t="shared" si="2"/>
        <v>36.656666666666666</v>
      </c>
      <c r="W5">
        <f t="shared" si="2"/>
        <v>41.939090909090915</v>
      </c>
      <c r="X5">
        <f t="shared" si="2"/>
        <v>45.490833333333335</v>
      </c>
      <c r="Y5">
        <f t="shared" si="2"/>
        <v>46.953076923076921</v>
      </c>
      <c r="AA5" t="s">
        <v>9</v>
      </c>
      <c r="AB5">
        <f t="shared" ref="AB5:AB8" si="3">P5+6</f>
        <v>14.4</v>
      </c>
      <c r="AC5">
        <f t="shared" si="1"/>
        <v>26.265833333333333</v>
      </c>
      <c r="AD5">
        <f t="shared" si="1"/>
        <v>31.648181818181818</v>
      </c>
      <c r="AE5">
        <f t="shared" si="1"/>
        <v>31.855454545454542</v>
      </c>
      <c r="AF5">
        <f t="shared" si="1"/>
        <v>30.66</v>
      </c>
      <c r="AG5">
        <f t="shared" si="1"/>
        <v>34.69</v>
      </c>
      <c r="AH5">
        <f t="shared" si="1"/>
        <v>42.656666666666666</v>
      </c>
      <c r="AI5">
        <f t="shared" si="1"/>
        <v>47.939090909090915</v>
      </c>
      <c r="AJ5">
        <f t="shared" si="1"/>
        <v>51.490833333333335</v>
      </c>
      <c r="AK5">
        <f t="shared" si="1"/>
        <v>52.953076923076921</v>
      </c>
    </row>
    <row r="6" spans="2:37" x14ac:dyDescent="0.5">
      <c r="C6">
        <v>2.82</v>
      </c>
      <c r="D6">
        <v>13.82</v>
      </c>
      <c r="E6">
        <v>21.24</v>
      </c>
      <c r="F6">
        <v>22.26</v>
      </c>
      <c r="G6">
        <v>22.66</v>
      </c>
      <c r="H6">
        <v>19.27</v>
      </c>
      <c r="I6">
        <v>28.63</v>
      </c>
      <c r="J6">
        <v>33.380000000000003</v>
      </c>
      <c r="K6">
        <v>35.840000000000003</v>
      </c>
      <c r="L6">
        <v>38.200000000000003</v>
      </c>
      <c r="O6" t="s">
        <v>10</v>
      </c>
      <c r="P6">
        <f>C64</f>
        <v>13.311818181818182</v>
      </c>
      <c r="Q6">
        <f t="shared" ref="Q6:Y6" si="4">D64</f>
        <v>24.579166666666669</v>
      </c>
      <c r="R6">
        <f t="shared" si="4"/>
        <v>28.017272727272722</v>
      </c>
      <c r="S6">
        <f t="shared" si="4"/>
        <v>27.828181818181818</v>
      </c>
      <c r="T6">
        <f t="shared" si="4"/>
        <v>27.364999999999998</v>
      </c>
      <c r="U6">
        <f t="shared" si="4"/>
        <v>28.647499999999997</v>
      </c>
      <c r="V6">
        <f t="shared" si="4"/>
        <v>33.217692307692303</v>
      </c>
      <c r="W6">
        <f t="shared" si="4"/>
        <v>38.783333333333346</v>
      </c>
      <c r="X6">
        <f t="shared" si="4"/>
        <v>42.039166666666667</v>
      </c>
      <c r="Y6">
        <f t="shared" si="4"/>
        <v>43.460833333333333</v>
      </c>
      <c r="AA6" t="s">
        <v>10</v>
      </c>
      <c r="AB6">
        <f t="shared" si="3"/>
        <v>19.311818181818182</v>
      </c>
      <c r="AC6">
        <f t="shared" si="1"/>
        <v>30.579166666666669</v>
      </c>
      <c r="AD6">
        <f t="shared" si="1"/>
        <v>34.017272727272726</v>
      </c>
      <c r="AE6">
        <f t="shared" si="1"/>
        <v>33.828181818181818</v>
      </c>
      <c r="AF6">
        <f t="shared" si="1"/>
        <v>33.364999999999995</v>
      </c>
      <c r="AG6">
        <f t="shared" si="1"/>
        <v>34.647499999999994</v>
      </c>
      <c r="AH6">
        <f t="shared" si="1"/>
        <v>39.217692307692303</v>
      </c>
      <c r="AI6">
        <f t="shared" si="1"/>
        <v>44.783333333333346</v>
      </c>
      <c r="AJ6">
        <f t="shared" si="1"/>
        <v>48.039166666666667</v>
      </c>
      <c r="AK6">
        <f t="shared" si="1"/>
        <v>49.460833333333333</v>
      </c>
    </row>
    <row r="7" spans="2:37" x14ac:dyDescent="0.5">
      <c r="C7">
        <v>3.66</v>
      </c>
      <c r="D7">
        <v>14.31</v>
      </c>
      <c r="E7">
        <v>21.92</v>
      </c>
      <c r="F7">
        <v>22.48</v>
      </c>
      <c r="G7">
        <v>22.97</v>
      </c>
      <c r="H7">
        <v>18.850000000000001</v>
      </c>
      <c r="I7">
        <v>28.27</v>
      </c>
      <c r="J7">
        <v>33.549999999999997</v>
      </c>
      <c r="K7">
        <v>36.56</v>
      </c>
      <c r="L7">
        <v>38.51</v>
      </c>
      <c r="O7" t="s">
        <v>11</v>
      </c>
      <c r="P7">
        <f>C85</f>
        <v>17.90818181818182</v>
      </c>
      <c r="Q7">
        <f t="shared" ref="Q7:Y7" si="5">D85</f>
        <v>26.153636363636362</v>
      </c>
      <c r="R7">
        <f t="shared" si="5"/>
        <v>29.701666666666664</v>
      </c>
      <c r="S7">
        <f t="shared" si="5"/>
        <v>29.188333333333336</v>
      </c>
      <c r="T7">
        <f t="shared" si="5"/>
        <v>29.243333333333336</v>
      </c>
      <c r="U7">
        <f t="shared" si="5"/>
        <v>29.439166666666665</v>
      </c>
      <c r="V7">
        <f t="shared" si="5"/>
        <v>33.598333333333329</v>
      </c>
      <c r="W7">
        <f t="shared" si="5"/>
        <v>38.83</v>
      </c>
      <c r="X7">
        <f t="shared" si="5"/>
        <v>41.265000000000001</v>
      </c>
      <c r="Y7">
        <f t="shared" si="5"/>
        <v>43.810833333333335</v>
      </c>
      <c r="AA7" t="s">
        <v>11</v>
      </c>
      <c r="AB7">
        <f t="shared" si="3"/>
        <v>23.90818181818182</v>
      </c>
      <c r="AC7">
        <f t="shared" si="1"/>
        <v>32.153636363636366</v>
      </c>
      <c r="AD7">
        <f t="shared" si="1"/>
        <v>35.701666666666668</v>
      </c>
      <c r="AE7">
        <f t="shared" si="1"/>
        <v>35.188333333333333</v>
      </c>
      <c r="AF7">
        <f t="shared" si="1"/>
        <v>35.243333333333339</v>
      </c>
      <c r="AG7">
        <f t="shared" si="1"/>
        <v>35.439166666666665</v>
      </c>
      <c r="AH7">
        <f t="shared" si="1"/>
        <v>39.598333333333329</v>
      </c>
      <c r="AI7">
        <f t="shared" si="1"/>
        <v>44.83</v>
      </c>
      <c r="AJ7">
        <f t="shared" si="1"/>
        <v>47.265000000000001</v>
      </c>
      <c r="AK7">
        <f t="shared" si="1"/>
        <v>49.810833333333335</v>
      </c>
    </row>
    <row r="8" spans="2:37" x14ac:dyDescent="0.5">
      <c r="C8">
        <v>3.87</v>
      </c>
      <c r="D8">
        <v>13.87</v>
      </c>
      <c r="E8">
        <v>21.89</v>
      </c>
      <c r="F8">
        <v>22.37</v>
      </c>
      <c r="G8">
        <v>23.48</v>
      </c>
      <c r="H8">
        <v>19.440000000000001</v>
      </c>
      <c r="I8">
        <v>28.09</v>
      </c>
      <c r="J8">
        <v>33.51</v>
      </c>
      <c r="K8">
        <v>36.130000000000003</v>
      </c>
      <c r="L8">
        <v>38.409999999999997</v>
      </c>
      <c r="O8" t="s">
        <v>12</v>
      </c>
      <c r="P8">
        <f>C106</f>
        <v>17.813636363636363</v>
      </c>
      <c r="Q8">
        <f t="shared" ref="Q8:Y8" si="6">D106</f>
        <v>25.662727272727281</v>
      </c>
      <c r="R8">
        <f t="shared" si="6"/>
        <v>29.115833333333338</v>
      </c>
      <c r="S8">
        <f t="shared" si="6"/>
        <v>29.044999999999998</v>
      </c>
      <c r="T8">
        <f t="shared" si="6"/>
        <v>28.53083333333333</v>
      </c>
      <c r="U8">
        <f t="shared" si="6"/>
        <v>28.249166666666664</v>
      </c>
      <c r="V8">
        <f t="shared" si="6"/>
        <v>32.518181818181816</v>
      </c>
      <c r="W8">
        <f t="shared" si="6"/>
        <v>38.679999999999993</v>
      </c>
      <c r="X8">
        <f t="shared" si="6"/>
        <v>42.095000000000006</v>
      </c>
      <c r="Y8">
        <f t="shared" si="6"/>
        <v>44.096666666666671</v>
      </c>
      <c r="AA8" t="s">
        <v>12</v>
      </c>
      <c r="AB8">
        <f t="shared" si="3"/>
        <v>23.813636363636363</v>
      </c>
      <c r="AC8">
        <f t="shared" si="1"/>
        <v>31.662727272727281</v>
      </c>
      <c r="AD8">
        <f t="shared" si="1"/>
        <v>35.115833333333342</v>
      </c>
      <c r="AE8">
        <f t="shared" si="1"/>
        <v>35.045000000000002</v>
      </c>
      <c r="AF8">
        <f t="shared" si="1"/>
        <v>34.530833333333334</v>
      </c>
      <c r="AG8">
        <f t="shared" si="1"/>
        <v>34.249166666666667</v>
      </c>
      <c r="AH8">
        <f t="shared" si="1"/>
        <v>38.518181818181816</v>
      </c>
      <c r="AI8">
        <f t="shared" si="1"/>
        <v>44.679999999999993</v>
      </c>
      <c r="AJ8">
        <f t="shared" si="1"/>
        <v>48.095000000000006</v>
      </c>
      <c r="AK8">
        <f t="shared" si="1"/>
        <v>50.096666666666671</v>
      </c>
    </row>
    <row r="9" spans="2:37" x14ac:dyDescent="0.5">
      <c r="C9">
        <v>4.0999999999999996</v>
      </c>
      <c r="D9">
        <v>14.12</v>
      </c>
      <c r="E9">
        <v>21.59</v>
      </c>
      <c r="F9">
        <v>22.12</v>
      </c>
      <c r="G9">
        <v>23.19</v>
      </c>
      <c r="H9">
        <v>19.260000000000002</v>
      </c>
      <c r="I9">
        <v>28.79</v>
      </c>
      <c r="J9">
        <v>33.6</v>
      </c>
      <c r="K9">
        <v>36.36</v>
      </c>
      <c r="L9">
        <v>38.619999999999997</v>
      </c>
    </row>
    <row r="10" spans="2:37" x14ac:dyDescent="0.5">
      <c r="C10">
        <v>3.87</v>
      </c>
      <c r="D10">
        <v>14.57</v>
      </c>
      <c r="E10">
        <v>21.84</v>
      </c>
      <c r="F10">
        <v>21.59</v>
      </c>
      <c r="G10">
        <v>24.7</v>
      </c>
      <c r="H10">
        <v>18.940000000000001</v>
      </c>
      <c r="I10">
        <v>28.82</v>
      </c>
      <c r="J10">
        <v>33.9</v>
      </c>
      <c r="K10">
        <v>35.86</v>
      </c>
      <c r="L10">
        <v>37.700000000000003</v>
      </c>
      <c r="AB10">
        <v>73</v>
      </c>
      <c r="AC10">
        <v>120</v>
      </c>
      <c r="AD10">
        <v>164</v>
      </c>
      <c r="AE10">
        <v>256</v>
      </c>
      <c r="AF10">
        <v>353</v>
      </c>
      <c r="AG10">
        <v>427</v>
      </c>
      <c r="AH10">
        <v>522</v>
      </c>
      <c r="AI10">
        <v>586</v>
      </c>
      <c r="AJ10">
        <v>638</v>
      </c>
      <c r="AK10">
        <v>705</v>
      </c>
    </row>
    <row r="11" spans="2:37" x14ac:dyDescent="0.5">
      <c r="C11">
        <v>7.95</v>
      </c>
      <c r="D11">
        <v>17.25</v>
      </c>
      <c r="E11">
        <v>21.66</v>
      </c>
      <c r="F11">
        <v>25.19</v>
      </c>
      <c r="G11">
        <v>24.6</v>
      </c>
      <c r="H11">
        <v>21.17</v>
      </c>
      <c r="I11">
        <v>30.36</v>
      </c>
      <c r="J11">
        <v>35.03</v>
      </c>
      <c r="K11">
        <v>38.06</v>
      </c>
      <c r="L11">
        <v>39.44</v>
      </c>
      <c r="AA11" t="s">
        <v>8</v>
      </c>
      <c r="AB11">
        <f>C21</f>
        <v>1.6920122799659427</v>
      </c>
      <c r="AC11">
        <f t="shared" ref="AC11:AK11" si="7">D21</f>
        <v>1.4546312533880652</v>
      </c>
      <c r="AD11">
        <f t="shared" si="7"/>
        <v>0.85591917441782694</v>
      </c>
      <c r="AE11">
        <f t="shared" si="7"/>
        <v>1.1187337883769304</v>
      </c>
      <c r="AF11">
        <f t="shared" si="7"/>
        <v>0.83585225967272458</v>
      </c>
      <c r="AG11">
        <f t="shared" si="7"/>
        <v>0.86358104554362558</v>
      </c>
      <c r="AH11">
        <f t="shared" si="7"/>
        <v>0.71787910766586649</v>
      </c>
      <c r="AI11">
        <f t="shared" si="7"/>
        <v>0.72647456201590355</v>
      </c>
      <c r="AJ11">
        <f t="shared" si="7"/>
        <v>0.83265581273377165</v>
      </c>
      <c r="AK11">
        <f t="shared" si="7"/>
        <v>0.62550590635811587</v>
      </c>
    </row>
    <row r="12" spans="2:37" x14ac:dyDescent="0.5">
      <c r="C12">
        <v>7.79</v>
      </c>
      <c r="D12">
        <v>15.88</v>
      </c>
      <c r="E12">
        <v>23.65</v>
      </c>
      <c r="F12">
        <v>23.54</v>
      </c>
      <c r="G12">
        <v>24.55</v>
      </c>
      <c r="H12">
        <v>20.95</v>
      </c>
      <c r="I12">
        <v>30.03</v>
      </c>
      <c r="J12">
        <v>35.450000000000003</v>
      </c>
      <c r="K12">
        <v>37.869999999999997</v>
      </c>
      <c r="L12">
        <v>39.39</v>
      </c>
      <c r="AA12" t="s">
        <v>9</v>
      </c>
      <c r="AB12">
        <f>C43</f>
        <v>1.7857007791696939</v>
      </c>
      <c r="AC12">
        <f t="shared" ref="AC12:AK12" si="8">D43</f>
        <v>2.4683039329781686</v>
      </c>
      <c r="AD12">
        <f t="shared" si="8"/>
        <v>1.704805071138197</v>
      </c>
      <c r="AE12">
        <f t="shared" si="8"/>
        <v>1.9181968978295676</v>
      </c>
      <c r="AF12">
        <f t="shared" si="8"/>
        <v>0.31128764832546746</v>
      </c>
      <c r="AG12">
        <f t="shared" si="8"/>
        <v>0.91670358052396372</v>
      </c>
      <c r="AH12">
        <f t="shared" si="8"/>
        <v>0.45301459382918591</v>
      </c>
      <c r="AI12">
        <f t="shared" si="8"/>
        <v>0.4495139707699366</v>
      </c>
      <c r="AJ12">
        <f t="shared" si="8"/>
        <v>0.50450401936511524</v>
      </c>
      <c r="AK12">
        <f t="shared" si="8"/>
        <v>0.38579358002762587</v>
      </c>
    </row>
    <row r="13" spans="2:37" x14ac:dyDescent="0.5">
      <c r="C13">
        <v>7.56</v>
      </c>
      <c r="D13">
        <v>16.399999999999999</v>
      </c>
      <c r="E13">
        <v>23.03</v>
      </c>
      <c r="F13">
        <v>23.91</v>
      </c>
      <c r="G13">
        <v>25.2</v>
      </c>
      <c r="H13">
        <v>21.19</v>
      </c>
      <c r="I13">
        <v>29.32</v>
      </c>
      <c r="J13">
        <v>34.44</v>
      </c>
      <c r="K13">
        <v>37.549999999999997</v>
      </c>
      <c r="L13">
        <v>39.409999999999997</v>
      </c>
      <c r="AA13" t="s">
        <v>10</v>
      </c>
      <c r="AB13">
        <f>C65</f>
        <v>1.5625202147452579</v>
      </c>
      <c r="AC13">
        <f t="shared" ref="AC13:AK13" si="9">D65</f>
        <v>0.74496597610599313</v>
      </c>
      <c r="AD13">
        <f t="shared" si="9"/>
        <v>0.50931488579518525</v>
      </c>
      <c r="AE13">
        <f t="shared" si="9"/>
        <v>0.29642776774047896</v>
      </c>
      <c r="AF13">
        <f t="shared" si="9"/>
        <v>0.40107148157570821</v>
      </c>
      <c r="AG13">
        <f t="shared" si="9"/>
        <v>0.55490427102339068</v>
      </c>
      <c r="AH13">
        <f t="shared" si="9"/>
        <v>0.5221428311244678</v>
      </c>
      <c r="AI13">
        <f t="shared" si="9"/>
        <v>0.95908231601301519</v>
      </c>
      <c r="AJ13">
        <f t="shared" si="9"/>
        <v>0.96127916803022784</v>
      </c>
      <c r="AK13">
        <f t="shared" si="9"/>
        <v>1.2631010670391958</v>
      </c>
    </row>
    <row r="14" spans="2:37" x14ac:dyDescent="0.5">
      <c r="C14">
        <v>6.1</v>
      </c>
      <c r="D14">
        <v>16.8</v>
      </c>
      <c r="E14">
        <v>23.23</v>
      </c>
      <c r="F14">
        <v>24.62</v>
      </c>
      <c r="G14">
        <v>24.63</v>
      </c>
      <c r="H14">
        <v>20.88</v>
      </c>
      <c r="I14">
        <v>30.09</v>
      </c>
      <c r="J14">
        <v>34.83</v>
      </c>
      <c r="K14">
        <v>37.92</v>
      </c>
      <c r="L14">
        <v>39.47</v>
      </c>
      <c r="AA14" t="s">
        <v>11</v>
      </c>
      <c r="AB14">
        <f>C86</f>
        <v>0.86541443757331138</v>
      </c>
      <c r="AC14">
        <f t="shared" ref="AC14:AK14" si="10">D86</f>
        <v>0.53981937597467311</v>
      </c>
      <c r="AD14">
        <f t="shared" si="10"/>
        <v>0.96183707329025114</v>
      </c>
      <c r="AE14">
        <f t="shared" si="10"/>
        <v>0.93067030801579897</v>
      </c>
      <c r="AF14">
        <f t="shared" si="10"/>
        <v>1.1108280194921665</v>
      </c>
      <c r="AG14">
        <f t="shared" si="10"/>
        <v>1.0176480918710995</v>
      </c>
      <c r="AH14">
        <f t="shared" si="10"/>
        <v>0.97619869334520681</v>
      </c>
      <c r="AI14">
        <f t="shared" si="10"/>
        <v>0.94587701808075053</v>
      </c>
      <c r="AJ14">
        <f t="shared" si="10"/>
        <v>0.6461875372779432</v>
      </c>
      <c r="AK14">
        <f t="shared" si="10"/>
        <v>1.1368264183926926</v>
      </c>
    </row>
    <row r="15" spans="2:37" x14ac:dyDescent="0.5">
      <c r="C15">
        <v>5.47</v>
      </c>
      <c r="D15">
        <v>17.43</v>
      </c>
      <c r="E15">
        <v>23.13</v>
      </c>
      <c r="F15">
        <v>24.25</v>
      </c>
      <c r="H15">
        <v>20.74</v>
      </c>
      <c r="I15">
        <v>29.5</v>
      </c>
      <c r="J15">
        <v>35.07</v>
      </c>
      <c r="K15">
        <v>37.71</v>
      </c>
      <c r="L15">
        <v>39.57</v>
      </c>
      <c r="AA15" t="s">
        <v>12</v>
      </c>
      <c r="AB15">
        <f>C107</f>
        <v>1.3419475177874387</v>
      </c>
      <c r="AC15">
        <f t="shared" ref="AC15:AK15" si="11">D107</f>
        <v>1.0601122660024864</v>
      </c>
      <c r="AD15">
        <f t="shared" si="11"/>
        <v>0.9455373986375275</v>
      </c>
      <c r="AE15">
        <f t="shared" si="11"/>
        <v>0.76917163234222263</v>
      </c>
      <c r="AF15">
        <f t="shared" si="11"/>
        <v>1.0380948763105537</v>
      </c>
      <c r="AG15">
        <f t="shared" si="11"/>
        <v>1.2381401262467111</v>
      </c>
      <c r="AH15">
        <f t="shared" si="11"/>
        <v>1.2395513717897237</v>
      </c>
      <c r="AI15">
        <f t="shared" si="11"/>
        <v>1.0043156874210415</v>
      </c>
      <c r="AJ15">
        <f t="shared" si="11"/>
        <v>0.96593219223711524</v>
      </c>
      <c r="AK15">
        <f t="shared" si="11"/>
        <v>1.4809981619014783</v>
      </c>
    </row>
    <row r="16" spans="2:37" x14ac:dyDescent="0.5">
      <c r="C16">
        <v>5.13</v>
      </c>
      <c r="D16">
        <v>17.66</v>
      </c>
      <c r="E16">
        <v>23.45</v>
      </c>
      <c r="H16">
        <v>19.690000000000001</v>
      </c>
      <c r="L16">
        <v>39.72</v>
      </c>
    </row>
    <row r="17" spans="2:37" x14ac:dyDescent="0.5">
      <c r="E17">
        <v>23.66</v>
      </c>
      <c r="AA17" t="s">
        <v>8</v>
      </c>
      <c r="AB17">
        <f>P4-$P$4</f>
        <v>0</v>
      </c>
      <c r="AC17">
        <f>Q4-$Q$4</f>
        <v>0</v>
      </c>
      <c r="AD17">
        <f>R4-$R$4</f>
        <v>0</v>
      </c>
      <c r="AE17">
        <f>S4-$S$4</f>
        <v>0</v>
      </c>
      <c r="AF17">
        <f>T4-$T$4</f>
        <v>0</v>
      </c>
      <c r="AG17">
        <f>U4-$U$4</f>
        <v>0</v>
      </c>
      <c r="AH17">
        <f>V4-$V$4</f>
        <v>0</v>
      </c>
      <c r="AI17">
        <f>W4-$W$4</f>
        <v>0</v>
      </c>
      <c r="AJ17">
        <f>X4-$X$4</f>
        <v>0</v>
      </c>
      <c r="AK17">
        <f>Y4-$Y$4</f>
        <v>0</v>
      </c>
    </row>
    <row r="18" spans="2:37" x14ac:dyDescent="0.5">
      <c r="AA18" t="s">
        <v>9</v>
      </c>
      <c r="AB18">
        <f>P5-$P$4</f>
        <v>3.1833333333333336</v>
      </c>
      <c r="AC18">
        <f>Q5-$Q$4</f>
        <v>4.7383333333333315</v>
      </c>
      <c r="AD18">
        <f>R5-$R$4</f>
        <v>3.1797202797202786</v>
      </c>
      <c r="AE18">
        <f>S5-$S$4</f>
        <v>2.6681818181818144</v>
      </c>
      <c r="AF18">
        <f>T5-$T$4</f>
        <v>0.71100000000000207</v>
      </c>
      <c r="AG18">
        <f>U5-$U$4</f>
        <v>0.6666666666666643</v>
      </c>
      <c r="AH18">
        <f>V5-$V$4</f>
        <v>-0.53969696969696201</v>
      </c>
      <c r="AI18">
        <f>W5-$W$4</f>
        <v>-0.27818181818181387</v>
      </c>
      <c r="AJ18">
        <f>X5-$X$4</f>
        <v>0.47628787878787904</v>
      </c>
      <c r="AK18">
        <f>Y5-$Y$4</f>
        <v>-2.1089743589740806E-2</v>
      </c>
    </row>
    <row r="19" spans="2:37" x14ac:dyDescent="0.5">
      <c r="C19">
        <f>AVERAGE(C5:C17)</f>
        <v>5.2166666666666668</v>
      </c>
      <c r="D19">
        <f t="shared" ref="D19:L19" si="12">AVERAGE(D5:D17)</f>
        <v>15.527500000000002</v>
      </c>
      <c r="E19">
        <f t="shared" si="12"/>
        <v>22.46846153846154</v>
      </c>
      <c r="F19">
        <f t="shared" si="12"/>
        <v>23.187272727272727</v>
      </c>
      <c r="G19">
        <f t="shared" si="12"/>
        <v>23.948999999999998</v>
      </c>
      <c r="H19">
        <f t="shared" si="12"/>
        <v>20.023333333333333</v>
      </c>
      <c r="I19">
        <f t="shared" si="12"/>
        <v>29.196363636363632</v>
      </c>
      <c r="J19">
        <f t="shared" si="12"/>
        <v>34.217272727272729</v>
      </c>
      <c r="K19">
        <f t="shared" si="12"/>
        <v>37.014545454545456</v>
      </c>
      <c r="L19">
        <f t="shared" si="12"/>
        <v>38.974166666666662</v>
      </c>
      <c r="AA19" t="s">
        <v>10</v>
      </c>
      <c r="AB19">
        <f>P6-$P$4</f>
        <v>8.0951515151515157</v>
      </c>
      <c r="AC19">
        <f>Q6-$Q$4</f>
        <v>9.0516666666666676</v>
      </c>
      <c r="AD19">
        <f>R6-$R$4</f>
        <v>5.5488111888111824</v>
      </c>
      <c r="AE19">
        <f>S6-$S$4</f>
        <v>4.6409090909090907</v>
      </c>
      <c r="AF19">
        <f>T6-$T$4</f>
        <v>3.4160000000000004</v>
      </c>
      <c r="AG19">
        <f>U6-$U$4</f>
        <v>0.62416666666666387</v>
      </c>
      <c r="AH19">
        <f>V6-$V$4</f>
        <v>-3.9786713286713251</v>
      </c>
      <c r="AI19">
        <f>W6-$W$4</f>
        <v>-3.433939393939383</v>
      </c>
      <c r="AJ19">
        <f>X6-$X$4</f>
        <v>-2.975378787878789</v>
      </c>
      <c r="AK19">
        <f>Y6-$Y$4</f>
        <v>-3.5133333333333283</v>
      </c>
    </row>
    <row r="20" spans="2:37" x14ac:dyDescent="0.5">
      <c r="C20">
        <f>C19</f>
        <v>5.2166666666666668</v>
      </c>
      <c r="D20">
        <f t="shared" ref="D20:G20" si="13">D19</f>
        <v>15.527500000000002</v>
      </c>
      <c r="E20">
        <f t="shared" si="13"/>
        <v>22.46846153846154</v>
      </c>
      <c r="F20">
        <f t="shared" si="13"/>
        <v>23.187272727272727</v>
      </c>
      <c r="G20">
        <f t="shared" si="13"/>
        <v>23.948999999999998</v>
      </c>
      <c r="H20">
        <f>H19+8</f>
        <v>28.023333333333333</v>
      </c>
      <c r="I20">
        <f t="shared" ref="I20:L20" si="14">I19+8</f>
        <v>37.196363636363628</v>
      </c>
      <c r="J20">
        <f t="shared" si="14"/>
        <v>42.217272727272729</v>
      </c>
      <c r="K20">
        <f t="shared" si="14"/>
        <v>45.014545454545456</v>
      </c>
      <c r="L20">
        <f t="shared" si="14"/>
        <v>46.974166666666662</v>
      </c>
      <c r="AA20" t="s">
        <v>11</v>
      </c>
      <c r="AB20">
        <f>P7-$P$4</f>
        <v>12.691515151515153</v>
      </c>
      <c r="AC20">
        <f>Q7-$Q$4</f>
        <v>10.626136363636361</v>
      </c>
      <c r="AD20">
        <f>R7-$R$4</f>
        <v>7.2332051282051246</v>
      </c>
      <c r="AE20">
        <f>S7-$S$4</f>
        <v>6.0010606060606086</v>
      </c>
      <c r="AF20">
        <f>T7-$T$4</f>
        <v>5.2943333333333378</v>
      </c>
      <c r="AG20">
        <f>U7-$U$4</f>
        <v>1.4158333333333317</v>
      </c>
      <c r="AH20">
        <f>V7-$V$4</f>
        <v>-3.5980303030302991</v>
      </c>
      <c r="AI20">
        <f>W7-$W$4</f>
        <v>-3.3872727272727303</v>
      </c>
      <c r="AJ20">
        <f>X7-$X$4</f>
        <v>-3.749545454545455</v>
      </c>
      <c r="AK20">
        <f>Y7-$Y$4</f>
        <v>-3.1633333333333269</v>
      </c>
    </row>
    <row r="21" spans="2:37" x14ac:dyDescent="0.5">
      <c r="C21">
        <f t="shared" ref="C21:L21" si="15">_xlfn.STDEV.P(C5:C17)</f>
        <v>1.6920122799659427</v>
      </c>
      <c r="D21">
        <f t="shared" si="15"/>
        <v>1.4546312533880652</v>
      </c>
      <c r="E21">
        <f t="shared" si="15"/>
        <v>0.85591917441782694</v>
      </c>
      <c r="F21">
        <f t="shared" si="15"/>
        <v>1.1187337883769304</v>
      </c>
      <c r="G21">
        <f t="shared" si="15"/>
        <v>0.83585225967272458</v>
      </c>
      <c r="H21">
        <f t="shared" si="15"/>
        <v>0.86358104554362558</v>
      </c>
      <c r="I21">
        <f t="shared" si="15"/>
        <v>0.71787910766586649</v>
      </c>
      <c r="J21">
        <f t="shared" si="15"/>
        <v>0.72647456201590355</v>
      </c>
      <c r="K21">
        <f t="shared" si="15"/>
        <v>0.83265581273377165</v>
      </c>
      <c r="L21">
        <f t="shared" si="15"/>
        <v>0.62550590635811587</v>
      </c>
      <c r="AA21" t="s">
        <v>12</v>
      </c>
      <c r="AB21">
        <f>P8-$P$4</f>
        <v>12.596969696969696</v>
      </c>
      <c r="AC21">
        <f>Q8-$Q$4</f>
        <v>10.135227272727279</v>
      </c>
      <c r="AD21">
        <f>R8-$R$4</f>
        <v>6.6473717948717983</v>
      </c>
      <c r="AE21">
        <f>S8-$S$4</f>
        <v>5.8577272727272707</v>
      </c>
      <c r="AF21">
        <f>T8-$T$4</f>
        <v>4.5818333333333321</v>
      </c>
      <c r="AG21">
        <f>U8-$U$4</f>
        <v>0.22583333333333044</v>
      </c>
      <c r="AH21">
        <f>V8-$V$4</f>
        <v>-4.6781818181818124</v>
      </c>
      <c r="AI21">
        <f>W8-$W$4</f>
        <v>-3.537272727272736</v>
      </c>
      <c r="AJ21">
        <f>X8-$X$4</f>
        <v>-2.9195454545454496</v>
      </c>
      <c r="AK21">
        <f>Y8-$Y$4</f>
        <v>-2.8774999999999906</v>
      </c>
    </row>
    <row r="23" spans="2:37" x14ac:dyDescent="0.5">
      <c r="B23" s="5" t="s">
        <v>4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37" x14ac:dyDescent="0.5">
      <c r="B24" t="s">
        <v>1</v>
      </c>
      <c r="C24">
        <v>74</v>
      </c>
      <c r="D24">
        <v>69</v>
      </c>
      <c r="E24">
        <v>62</v>
      </c>
      <c r="F24">
        <v>57</v>
      </c>
      <c r="G24">
        <v>53</v>
      </c>
      <c r="H24">
        <v>50</v>
      </c>
      <c r="I24">
        <v>47</v>
      </c>
      <c r="J24">
        <v>45</v>
      </c>
      <c r="K24">
        <v>43</v>
      </c>
      <c r="L24">
        <v>41</v>
      </c>
    </row>
    <row r="25" spans="2:37" x14ac:dyDescent="0.5">
      <c r="B25" t="s">
        <v>2</v>
      </c>
      <c r="C25">
        <v>73</v>
      </c>
      <c r="D25">
        <v>120</v>
      </c>
      <c r="E25">
        <v>164</v>
      </c>
      <c r="F25">
        <v>256</v>
      </c>
      <c r="G25">
        <v>353</v>
      </c>
      <c r="H25">
        <v>427</v>
      </c>
      <c r="I25">
        <v>522</v>
      </c>
      <c r="J25">
        <v>586</v>
      </c>
      <c r="K25">
        <v>638</v>
      </c>
      <c r="L25">
        <v>705</v>
      </c>
    </row>
    <row r="26" spans="2:37" x14ac:dyDescent="0.5">
      <c r="B26" t="s">
        <v>3</v>
      </c>
      <c r="C26">
        <v>3</v>
      </c>
      <c r="D26">
        <v>4</v>
      </c>
      <c r="E26">
        <v>6</v>
      </c>
      <c r="F26">
        <v>8</v>
      </c>
      <c r="G26">
        <v>10</v>
      </c>
      <c r="H26">
        <v>12</v>
      </c>
      <c r="I26">
        <v>14</v>
      </c>
      <c r="J26">
        <v>16</v>
      </c>
      <c r="K26">
        <v>18</v>
      </c>
      <c r="L26">
        <v>20</v>
      </c>
      <c r="O26">
        <v>0</v>
      </c>
    </row>
    <row r="27" spans="2:37" x14ac:dyDescent="0.5">
      <c r="C27">
        <v>7.63</v>
      </c>
      <c r="D27">
        <v>17.73</v>
      </c>
      <c r="E27">
        <v>24.04</v>
      </c>
      <c r="F27">
        <v>23.86</v>
      </c>
      <c r="G27">
        <v>25.14</v>
      </c>
      <c r="H27">
        <v>19.989999999999998</v>
      </c>
      <c r="I27">
        <v>28.98</v>
      </c>
      <c r="J27">
        <v>34.61</v>
      </c>
      <c r="K27">
        <v>38.21</v>
      </c>
      <c r="L27">
        <v>39.61</v>
      </c>
      <c r="O27">
        <v>20</v>
      </c>
    </row>
    <row r="28" spans="2:37" x14ac:dyDescent="0.5">
      <c r="C28">
        <v>5.89</v>
      </c>
      <c r="D28">
        <v>17.54</v>
      </c>
      <c r="E28">
        <v>23.81</v>
      </c>
      <c r="F28">
        <v>24.2</v>
      </c>
      <c r="G28">
        <v>24.86</v>
      </c>
      <c r="H28">
        <v>20.46</v>
      </c>
      <c r="I28">
        <v>28.82</v>
      </c>
      <c r="J28">
        <v>33.5</v>
      </c>
      <c r="K28">
        <v>37.68</v>
      </c>
      <c r="L28">
        <v>39.29</v>
      </c>
      <c r="O28">
        <v>40</v>
      </c>
    </row>
    <row r="29" spans="2:37" x14ac:dyDescent="0.5">
      <c r="C29">
        <v>6.75</v>
      </c>
      <c r="D29">
        <v>17.89</v>
      </c>
      <c r="E29">
        <v>24.43</v>
      </c>
      <c r="F29">
        <v>24.27</v>
      </c>
      <c r="G29">
        <v>24.51</v>
      </c>
      <c r="H29">
        <v>20.11</v>
      </c>
      <c r="I29">
        <v>28.43</v>
      </c>
      <c r="J29">
        <v>34.06</v>
      </c>
      <c r="K29">
        <v>37.85</v>
      </c>
      <c r="L29">
        <v>39.19</v>
      </c>
      <c r="O29">
        <v>60</v>
      </c>
    </row>
    <row r="30" spans="2:37" x14ac:dyDescent="0.5">
      <c r="C30">
        <v>7</v>
      </c>
      <c r="D30">
        <v>17.8</v>
      </c>
      <c r="E30">
        <v>24.28</v>
      </c>
      <c r="F30">
        <v>24.13</v>
      </c>
      <c r="G30">
        <v>24.14</v>
      </c>
      <c r="H30">
        <v>19.68</v>
      </c>
      <c r="I30">
        <v>28.52</v>
      </c>
      <c r="J30">
        <v>33.79</v>
      </c>
      <c r="K30">
        <v>38.200000000000003</v>
      </c>
      <c r="L30">
        <v>38.72</v>
      </c>
      <c r="O30">
        <v>80</v>
      </c>
    </row>
    <row r="31" spans="2:37" x14ac:dyDescent="0.5">
      <c r="C31">
        <v>6.57</v>
      </c>
      <c r="D31">
        <v>17.579999999999998</v>
      </c>
      <c r="E31">
        <v>23.66</v>
      </c>
      <c r="F31">
        <v>24.15</v>
      </c>
      <c r="G31">
        <v>24.56</v>
      </c>
      <c r="H31">
        <v>19.91</v>
      </c>
      <c r="I31">
        <v>27.88</v>
      </c>
      <c r="J31">
        <v>33.93</v>
      </c>
      <c r="K31">
        <v>36.979999999999997</v>
      </c>
      <c r="L31">
        <v>38.79</v>
      </c>
    </row>
    <row r="32" spans="2:37" x14ac:dyDescent="0.5">
      <c r="C32">
        <v>7.03</v>
      </c>
      <c r="D32">
        <v>18.39</v>
      </c>
      <c r="E32">
        <v>24.48</v>
      </c>
      <c r="F32">
        <v>24.12</v>
      </c>
      <c r="G32">
        <v>24.75</v>
      </c>
      <c r="H32">
        <v>19.27</v>
      </c>
      <c r="I32">
        <v>29.31</v>
      </c>
      <c r="J32">
        <v>34.25</v>
      </c>
      <c r="K32">
        <v>37.07</v>
      </c>
      <c r="L32">
        <v>38.409999999999997</v>
      </c>
    </row>
    <row r="33" spans="2:12" x14ac:dyDescent="0.5">
      <c r="C33">
        <v>10.52</v>
      </c>
      <c r="D33">
        <v>22.57</v>
      </c>
      <c r="E33">
        <v>27.93</v>
      </c>
      <c r="F33">
        <v>28.62</v>
      </c>
      <c r="H33">
        <v>21.68</v>
      </c>
      <c r="J33">
        <v>34.76</v>
      </c>
      <c r="K33">
        <v>38.090000000000003</v>
      </c>
      <c r="L33">
        <v>38.56</v>
      </c>
    </row>
    <row r="34" spans="2:12" x14ac:dyDescent="0.5">
      <c r="C34">
        <v>10.27</v>
      </c>
      <c r="D34">
        <v>22.16</v>
      </c>
      <c r="E34">
        <v>27.11</v>
      </c>
      <c r="F34">
        <v>28.03</v>
      </c>
      <c r="H34">
        <v>21.28</v>
      </c>
      <c r="J34">
        <v>33.97</v>
      </c>
      <c r="K34">
        <v>37.380000000000003</v>
      </c>
      <c r="L34">
        <v>39.729999999999997</v>
      </c>
    </row>
    <row r="35" spans="2:12" x14ac:dyDescent="0.5">
      <c r="C35">
        <v>10.119999999999999</v>
      </c>
      <c r="D35">
        <v>22.51</v>
      </c>
      <c r="E35">
        <v>27.65</v>
      </c>
      <c r="F35">
        <v>27.57</v>
      </c>
      <c r="H35">
        <v>21.48</v>
      </c>
      <c r="J35">
        <v>33.18</v>
      </c>
      <c r="K35">
        <v>36.630000000000003</v>
      </c>
      <c r="L35">
        <v>38.83</v>
      </c>
    </row>
    <row r="36" spans="2:12" x14ac:dyDescent="0.5">
      <c r="C36">
        <v>10.19</v>
      </c>
      <c r="D36">
        <v>22.57</v>
      </c>
      <c r="E36">
        <v>27.53</v>
      </c>
      <c r="F36">
        <v>27.7</v>
      </c>
      <c r="H36">
        <v>21.92</v>
      </c>
      <c r="J36">
        <v>33.549999999999997</v>
      </c>
      <c r="K36">
        <v>37.56</v>
      </c>
      <c r="L36">
        <v>38.79</v>
      </c>
    </row>
    <row r="37" spans="2:12" x14ac:dyDescent="0.5">
      <c r="C37">
        <v>10.43</v>
      </c>
      <c r="D37">
        <v>23.09</v>
      </c>
      <c r="E37">
        <v>27.21</v>
      </c>
      <c r="F37">
        <v>27.76</v>
      </c>
      <c r="H37">
        <v>21.81</v>
      </c>
      <c r="J37">
        <v>33.729999999999997</v>
      </c>
      <c r="K37">
        <v>37.26</v>
      </c>
      <c r="L37">
        <v>38.71</v>
      </c>
    </row>
    <row r="38" spans="2:12" x14ac:dyDescent="0.5">
      <c r="D38">
        <v>23.36</v>
      </c>
      <c r="K38">
        <v>36.979999999999997</v>
      </c>
      <c r="L38">
        <v>38.67</v>
      </c>
    </row>
    <row r="39" spans="2:12" x14ac:dyDescent="0.5">
      <c r="L39">
        <v>39.090000000000003</v>
      </c>
    </row>
    <row r="41" spans="2:12" x14ac:dyDescent="0.5">
      <c r="C41">
        <f>AVERAGE(C27:C39)</f>
        <v>8.4</v>
      </c>
      <c r="D41">
        <f t="shared" ref="D41:L41" si="16">AVERAGE(D27:D39)</f>
        <v>20.265833333333333</v>
      </c>
      <c r="E41">
        <f t="shared" si="16"/>
        <v>25.648181818181818</v>
      </c>
      <c r="F41">
        <f t="shared" si="16"/>
        <v>25.855454545454542</v>
      </c>
      <c r="G41">
        <f t="shared" si="16"/>
        <v>24.66</v>
      </c>
      <c r="H41">
        <f t="shared" si="16"/>
        <v>20.689999999999998</v>
      </c>
      <c r="I41">
        <f t="shared" si="16"/>
        <v>28.656666666666666</v>
      </c>
      <c r="J41">
        <f t="shared" si="16"/>
        <v>33.939090909090915</v>
      </c>
      <c r="K41">
        <f t="shared" si="16"/>
        <v>37.490833333333335</v>
      </c>
      <c r="L41">
        <f t="shared" si="16"/>
        <v>38.953076923076921</v>
      </c>
    </row>
    <row r="42" spans="2:12" x14ac:dyDescent="0.5">
      <c r="C42">
        <f>C41</f>
        <v>8.4</v>
      </c>
      <c r="D42">
        <f t="shared" ref="D42:G42" si="17">D41</f>
        <v>20.265833333333333</v>
      </c>
      <c r="E42">
        <f t="shared" si="17"/>
        <v>25.648181818181818</v>
      </c>
      <c r="F42">
        <f t="shared" si="17"/>
        <v>25.855454545454542</v>
      </c>
      <c r="G42">
        <f t="shared" si="17"/>
        <v>24.66</v>
      </c>
      <c r="H42">
        <f>H41+8</f>
        <v>28.689999999999998</v>
      </c>
      <c r="I42">
        <f t="shared" ref="I42:L42" si="18">I41+8</f>
        <v>36.656666666666666</v>
      </c>
      <c r="J42">
        <f t="shared" si="18"/>
        <v>41.939090909090915</v>
      </c>
      <c r="K42">
        <f t="shared" si="18"/>
        <v>45.490833333333335</v>
      </c>
      <c r="L42">
        <f t="shared" si="18"/>
        <v>46.953076923076921</v>
      </c>
    </row>
    <row r="43" spans="2:12" x14ac:dyDescent="0.5">
      <c r="C43">
        <f>_xlfn.STDEV.P(C27:C39)</f>
        <v>1.7857007791696939</v>
      </c>
      <c r="D43">
        <f t="shared" ref="D43:L43" si="19">_xlfn.STDEV.P(D27:D39)</f>
        <v>2.4683039329781686</v>
      </c>
      <c r="E43">
        <f t="shared" si="19"/>
        <v>1.704805071138197</v>
      </c>
      <c r="F43">
        <f t="shared" si="19"/>
        <v>1.9181968978295676</v>
      </c>
      <c r="G43">
        <f t="shared" si="19"/>
        <v>0.31128764832546746</v>
      </c>
      <c r="H43">
        <f t="shared" si="19"/>
        <v>0.91670358052396372</v>
      </c>
      <c r="I43">
        <f t="shared" si="19"/>
        <v>0.45301459382918591</v>
      </c>
      <c r="J43">
        <f t="shared" si="19"/>
        <v>0.4495139707699366</v>
      </c>
      <c r="K43">
        <f t="shared" si="19"/>
        <v>0.50450401936511524</v>
      </c>
      <c r="L43">
        <f t="shared" si="19"/>
        <v>0.38579358002762587</v>
      </c>
    </row>
    <row r="45" spans="2:12" x14ac:dyDescent="0.5">
      <c r="B45" s="5" t="s">
        <v>5</v>
      </c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2:12" x14ac:dyDescent="0.5">
      <c r="B46" t="s">
        <v>1</v>
      </c>
      <c r="C46">
        <v>74</v>
      </c>
      <c r="D46">
        <v>69</v>
      </c>
      <c r="E46">
        <v>62</v>
      </c>
      <c r="F46">
        <v>57</v>
      </c>
      <c r="G46">
        <v>53</v>
      </c>
      <c r="H46">
        <v>50</v>
      </c>
      <c r="I46">
        <v>47</v>
      </c>
      <c r="J46">
        <v>45</v>
      </c>
      <c r="K46">
        <v>43</v>
      </c>
      <c r="L46">
        <v>41</v>
      </c>
    </row>
    <row r="47" spans="2:12" x14ac:dyDescent="0.5">
      <c r="B47" t="s">
        <v>2</v>
      </c>
      <c r="C47">
        <v>73</v>
      </c>
      <c r="D47">
        <v>120</v>
      </c>
      <c r="E47">
        <v>164</v>
      </c>
      <c r="F47">
        <v>256</v>
      </c>
      <c r="G47">
        <v>353</v>
      </c>
      <c r="H47">
        <v>427</v>
      </c>
      <c r="I47">
        <v>522</v>
      </c>
      <c r="J47">
        <v>586</v>
      </c>
      <c r="K47">
        <v>638</v>
      </c>
      <c r="L47">
        <v>705</v>
      </c>
    </row>
    <row r="48" spans="2:12" x14ac:dyDescent="0.5">
      <c r="B48" t="s">
        <v>3</v>
      </c>
      <c r="C48">
        <v>3</v>
      </c>
      <c r="D48">
        <v>4</v>
      </c>
      <c r="E48">
        <v>6</v>
      </c>
      <c r="F48">
        <v>8</v>
      </c>
      <c r="G48">
        <v>10</v>
      </c>
      <c r="H48">
        <v>12</v>
      </c>
      <c r="I48">
        <v>14</v>
      </c>
      <c r="J48">
        <v>16</v>
      </c>
      <c r="K48">
        <v>18</v>
      </c>
      <c r="L48">
        <v>20</v>
      </c>
    </row>
    <row r="49" spans="3:12" x14ac:dyDescent="0.5">
      <c r="C49">
        <v>14.58</v>
      </c>
      <c r="D49">
        <v>24.39</v>
      </c>
      <c r="E49">
        <v>28.23</v>
      </c>
      <c r="F49">
        <v>28.12</v>
      </c>
      <c r="G49">
        <v>27.71</v>
      </c>
      <c r="H49">
        <v>21.71</v>
      </c>
      <c r="I49">
        <v>24.63</v>
      </c>
      <c r="J49">
        <v>32.64</v>
      </c>
      <c r="K49">
        <v>36.049999999999997</v>
      </c>
      <c r="L49">
        <v>37.29</v>
      </c>
    </row>
    <row r="50" spans="3:12" x14ac:dyDescent="0.5">
      <c r="C50">
        <v>10.79</v>
      </c>
      <c r="D50">
        <v>22.77</v>
      </c>
      <c r="E50">
        <v>28.13</v>
      </c>
      <c r="F50">
        <v>27.72</v>
      </c>
      <c r="G50">
        <v>27.23</v>
      </c>
      <c r="H50">
        <v>20.66</v>
      </c>
      <c r="I50">
        <v>24.97</v>
      </c>
      <c r="J50">
        <v>30.98</v>
      </c>
      <c r="K50">
        <v>35.21</v>
      </c>
      <c r="L50">
        <v>34.89</v>
      </c>
    </row>
    <row r="51" spans="3:12" x14ac:dyDescent="0.5">
      <c r="C51">
        <v>10.62</v>
      </c>
      <c r="D51">
        <v>24.27</v>
      </c>
      <c r="E51">
        <v>28.32</v>
      </c>
      <c r="F51">
        <v>28.11</v>
      </c>
      <c r="G51">
        <v>27.74</v>
      </c>
      <c r="H51">
        <v>21.17</v>
      </c>
      <c r="I51">
        <v>25.58</v>
      </c>
      <c r="J51">
        <v>31.34</v>
      </c>
      <c r="K51">
        <v>34.22</v>
      </c>
      <c r="L51">
        <v>35.06</v>
      </c>
    </row>
    <row r="52" spans="3:12" x14ac:dyDescent="0.5">
      <c r="C52">
        <v>12.73</v>
      </c>
      <c r="D52">
        <v>24.01</v>
      </c>
      <c r="E52">
        <v>28.66</v>
      </c>
      <c r="F52">
        <v>27.81</v>
      </c>
      <c r="G52">
        <v>27.67</v>
      </c>
      <c r="H52">
        <v>21.01</v>
      </c>
      <c r="I52">
        <v>25.43</v>
      </c>
      <c r="J52">
        <v>31.47</v>
      </c>
      <c r="K52">
        <v>34.46</v>
      </c>
      <c r="L52">
        <v>35.5</v>
      </c>
    </row>
    <row r="53" spans="3:12" x14ac:dyDescent="0.5">
      <c r="C53">
        <v>12.41</v>
      </c>
      <c r="D53">
        <v>25.24</v>
      </c>
      <c r="E53">
        <v>28.26</v>
      </c>
      <c r="F53">
        <v>27.94</v>
      </c>
      <c r="G53">
        <v>27.78</v>
      </c>
      <c r="H53">
        <v>20.27</v>
      </c>
      <c r="I53">
        <v>24.83</v>
      </c>
      <c r="J53">
        <v>30.21</v>
      </c>
      <c r="K53">
        <v>34.36</v>
      </c>
      <c r="L53">
        <v>37.68</v>
      </c>
    </row>
    <row r="54" spans="3:12" x14ac:dyDescent="0.5">
      <c r="C54">
        <v>16.2</v>
      </c>
      <c r="D54">
        <v>24.26</v>
      </c>
      <c r="E54">
        <v>28.67</v>
      </c>
      <c r="F54">
        <v>28.13</v>
      </c>
      <c r="G54">
        <v>28.1</v>
      </c>
      <c r="H54">
        <v>20.89</v>
      </c>
      <c r="I54">
        <v>25.07</v>
      </c>
      <c r="J54">
        <v>31.56</v>
      </c>
      <c r="K54">
        <v>34.64</v>
      </c>
      <c r="L54">
        <v>36.9</v>
      </c>
    </row>
    <row r="55" spans="3:12" x14ac:dyDescent="0.5">
      <c r="C55">
        <v>13.48</v>
      </c>
      <c r="D55">
        <v>25.14</v>
      </c>
      <c r="E55">
        <v>28.32</v>
      </c>
      <c r="F55">
        <v>28.23</v>
      </c>
      <c r="G55">
        <v>27.25</v>
      </c>
      <c r="H55">
        <v>19.489999999999998</v>
      </c>
      <c r="I55">
        <v>26.07</v>
      </c>
      <c r="J55">
        <v>30.47</v>
      </c>
      <c r="K55">
        <v>33.18</v>
      </c>
      <c r="L55">
        <v>35.42</v>
      </c>
    </row>
    <row r="56" spans="3:12" x14ac:dyDescent="0.5">
      <c r="C56">
        <v>13.91</v>
      </c>
      <c r="D56">
        <v>25.24</v>
      </c>
      <c r="E56">
        <v>27.59</v>
      </c>
      <c r="F56">
        <v>27.68</v>
      </c>
      <c r="G56">
        <v>26.86</v>
      </c>
      <c r="H56">
        <v>20.98</v>
      </c>
      <c r="I56">
        <v>26.09</v>
      </c>
      <c r="J56">
        <v>28.81</v>
      </c>
      <c r="K56">
        <v>33.32</v>
      </c>
      <c r="L56">
        <v>34.94</v>
      </c>
    </row>
    <row r="57" spans="3:12" x14ac:dyDescent="0.5">
      <c r="C57">
        <v>13.68</v>
      </c>
      <c r="D57">
        <v>24.3</v>
      </c>
      <c r="E57">
        <v>27.11</v>
      </c>
      <c r="F57">
        <v>27.69</v>
      </c>
      <c r="G57">
        <v>27.24</v>
      </c>
      <c r="H57">
        <v>20.75</v>
      </c>
      <c r="I57">
        <v>25.63</v>
      </c>
      <c r="J57">
        <v>30.6</v>
      </c>
      <c r="K57">
        <v>33.619999999999997</v>
      </c>
      <c r="L57">
        <v>35.82</v>
      </c>
    </row>
    <row r="58" spans="3:12" x14ac:dyDescent="0.5">
      <c r="C58">
        <v>13.45</v>
      </c>
      <c r="D58">
        <v>25.5</v>
      </c>
      <c r="E58">
        <v>27.27</v>
      </c>
      <c r="F58">
        <v>27.4</v>
      </c>
      <c r="G58">
        <v>26.93</v>
      </c>
      <c r="H58">
        <v>20.03</v>
      </c>
      <c r="I58">
        <v>25.06</v>
      </c>
      <c r="J58">
        <v>30.11</v>
      </c>
      <c r="K58">
        <v>32.340000000000003</v>
      </c>
      <c r="L58">
        <v>35.020000000000003</v>
      </c>
    </row>
    <row r="59" spans="3:12" x14ac:dyDescent="0.5">
      <c r="C59">
        <v>14.58</v>
      </c>
      <c r="D59">
        <v>24.42</v>
      </c>
      <c r="E59">
        <v>27.63</v>
      </c>
      <c r="F59">
        <v>27.28</v>
      </c>
      <c r="G59">
        <v>26.98</v>
      </c>
      <c r="H59">
        <v>20.420000000000002</v>
      </c>
      <c r="I59">
        <v>25.15</v>
      </c>
      <c r="J59">
        <v>29.8</v>
      </c>
      <c r="K59">
        <v>33.24</v>
      </c>
      <c r="L59">
        <v>33.69</v>
      </c>
    </row>
    <row r="60" spans="3:12" x14ac:dyDescent="0.5">
      <c r="D60">
        <v>25.41</v>
      </c>
      <c r="G60">
        <v>26.89</v>
      </c>
      <c r="H60">
        <v>20.39</v>
      </c>
      <c r="I60">
        <v>24.17</v>
      </c>
      <c r="J60">
        <v>31.41</v>
      </c>
      <c r="K60">
        <v>33.83</v>
      </c>
      <c r="L60">
        <v>33.32</v>
      </c>
    </row>
    <row r="61" spans="3:12" x14ac:dyDescent="0.5">
      <c r="I61">
        <v>25.15</v>
      </c>
    </row>
    <row r="63" spans="3:12" x14ac:dyDescent="0.5">
      <c r="C63">
        <f>AVERAGE(C49:C61)</f>
        <v>13.311818181818182</v>
      </c>
      <c r="D63">
        <f t="shared" ref="D63:L63" si="20">AVERAGE(D49:D61)</f>
        <v>24.579166666666669</v>
      </c>
      <c r="E63">
        <f t="shared" si="20"/>
        <v>28.017272727272722</v>
      </c>
      <c r="F63">
        <f t="shared" si="20"/>
        <v>27.828181818181818</v>
      </c>
      <c r="G63">
        <f t="shared" si="20"/>
        <v>27.364999999999998</v>
      </c>
      <c r="H63">
        <f>AVERAGE(H49:H60)</f>
        <v>20.647499999999997</v>
      </c>
      <c r="I63">
        <f t="shared" si="20"/>
        <v>25.217692307692307</v>
      </c>
      <c r="J63">
        <f t="shared" si="20"/>
        <v>30.783333333333342</v>
      </c>
      <c r="K63">
        <f t="shared" si="20"/>
        <v>34.039166666666667</v>
      </c>
      <c r="L63">
        <f t="shared" si="20"/>
        <v>35.460833333333333</v>
      </c>
    </row>
    <row r="64" spans="3:12" x14ac:dyDescent="0.5">
      <c r="C64">
        <f>C63</f>
        <v>13.311818181818182</v>
      </c>
      <c r="D64">
        <f t="shared" ref="D64:G64" si="21">D63</f>
        <v>24.579166666666669</v>
      </c>
      <c r="E64">
        <f t="shared" si="21"/>
        <v>28.017272727272722</v>
      </c>
      <c r="F64">
        <f t="shared" si="21"/>
        <v>27.828181818181818</v>
      </c>
      <c r="G64">
        <f t="shared" si="21"/>
        <v>27.364999999999998</v>
      </c>
      <c r="H64">
        <f>H63+8</f>
        <v>28.647499999999997</v>
      </c>
      <c r="I64">
        <f t="shared" ref="I64:L64" si="22">I63+8</f>
        <v>33.217692307692303</v>
      </c>
      <c r="J64">
        <f t="shared" si="22"/>
        <v>38.783333333333346</v>
      </c>
      <c r="K64">
        <f t="shared" si="22"/>
        <v>42.039166666666667</v>
      </c>
      <c r="L64">
        <f t="shared" si="22"/>
        <v>43.460833333333333</v>
      </c>
    </row>
    <row r="65" spans="2:12" x14ac:dyDescent="0.5">
      <c r="C65">
        <f>_xlfn.STDEV.P(C49:C61)</f>
        <v>1.5625202147452579</v>
      </c>
      <c r="D65">
        <f t="shared" ref="D65:L65" si="23">_xlfn.STDEV.P(D49:D61)</f>
        <v>0.74496597610599313</v>
      </c>
      <c r="E65">
        <f t="shared" si="23"/>
        <v>0.50931488579518525</v>
      </c>
      <c r="F65">
        <f t="shared" si="23"/>
        <v>0.29642776774047896</v>
      </c>
      <c r="G65">
        <f t="shared" si="23"/>
        <v>0.40107148157570821</v>
      </c>
      <c r="H65">
        <f>_xlfn.STDEV.P(H49:H60)</f>
        <v>0.55490427102339068</v>
      </c>
      <c r="I65">
        <f t="shared" si="23"/>
        <v>0.5221428311244678</v>
      </c>
      <c r="J65">
        <f t="shared" si="23"/>
        <v>0.95908231601301519</v>
      </c>
      <c r="K65">
        <f t="shared" si="23"/>
        <v>0.96127916803022784</v>
      </c>
      <c r="L65">
        <f t="shared" si="23"/>
        <v>1.2631010670391958</v>
      </c>
    </row>
    <row r="67" spans="2:12" x14ac:dyDescent="0.5">
      <c r="B67" s="5" t="s">
        <v>6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x14ac:dyDescent="0.5">
      <c r="B68" t="s">
        <v>1</v>
      </c>
      <c r="C68">
        <v>74</v>
      </c>
      <c r="D68">
        <v>69</v>
      </c>
      <c r="E68">
        <v>62</v>
      </c>
      <c r="F68">
        <v>57</v>
      </c>
      <c r="G68">
        <v>53</v>
      </c>
      <c r="H68">
        <v>50</v>
      </c>
      <c r="I68">
        <v>47</v>
      </c>
      <c r="J68">
        <v>45</v>
      </c>
      <c r="K68">
        <v>43</v>
      </c>
      <c r="L68">
        <v>41</v>
      </c>
    </row>
    <row r="69" spans="2:12" x14ac:dyDescent="0.5">
      <c r="B69" t="s">
        <v>2</v>
      </c>
      <c r="C69">
        <v>73</v>
      </c>
      <c r="D69">
        <v>120</v>
      </c>
      <c r="E69">
        <v>164</v>
      </c>
      <c r="F69">
        <v>256</v>
      </c>
      <c r="G69">
        <v>353</v>
      </c>
      <c r="H69">
        <v>427</v>
      </c>
      <c r="I69">
        <v>522</v>
      </c>
      <c r="J69">
        <v>586</v>
      </c>
      <c r="K69">
        <v>638</v>
      </c>
      <c r="L69">
        <v>705</v>
      </c>
    </row>
    <row r="70" spans="2:12" x14ac:dyDescent="0.5">
      <c r="B70" t="s">
        <v>3</v>
      </c>
      <c r="C70">
        <v>3</v>
      </c>
      <c r="D70">
        <v>4</v>
      </c>
      <c r="E70">
        <v>6</v>
      </c>
      <c r="F70">
        <v>8</v>
      </c>
      <c r="G70">
        <v>10</v>
      </c>
      <c r="H70">
        <v>12</v>
      </c>
      <c r="I70">
        <v>14</v>
      </c>
      <c r="J70">
        <v>16</v>
      </c>
      <c r="K70">
        <v>18</v>
      </c>
      <c r="L70">
        <v>20</v>
      </c>
    </row>
    <row r="71" spans="2:12" x14ac:dyDescent="0.5">
      <c r="C71">
        <v>19.100000000000001</v>
      </c>
      <c r="D71">
        <v>26.05</v>
      </c>
      <c r="E71">
        <v>28.54</v>
      </c>
      <c r="F71">
        <v>28.62</v>
      </c>
      <c r="G71">
        <v>27.97</v>
      </c>
      <c r="H71">
        <v>20.74</v>
      </c>
      <c r="I71">
        <v>24.87</v>
      </c>
      <c r="J71">
        <v>30.88</v>
      </c>
      <c r="K71">
        <v>34.24</v>
      </c>
      <c r="L71">
        <v>37.24</v>
      </c>
    </row>
    <row r="72" spans="2:12" x14ac:dyDescent="0.5">
      <c r="C72">
        <v>18.489999999999998</v>
      </c>
      <c r="D72">
        <v>25.91</v>
      </c>
      <c r="E72">
        <v>28.93</v>
      </c>
      <c r="F72">
        <v>28.33</v>
      </c>
      <c r="G72">
        <v>27.87</v>
      </c>
      <c r="H72">
        <v>20.47</v>
      </c>
      <c r="I72">
        <v>24.66</v>
      </c>
      <c r="J72">
        <v>28.92</v>
      </c>
      <c r="K72">
        <v>32.31</v>
      </c>
      <c r="L72">
        <v>35.39</v>
      </c>
    </row>
    <row r="73" spans="2:12" x14ac:dyDescent="0.5">
      <c r="C73">
        <v>17.25</v>
      </c>
      <c r="D73">
        <v>25.88</v>
      </c>
      <c r="E73">
        <v>28.74</v>
      </c>
      <c r="F73">
        <v>28.02</v>
      </c>
      <c r="G73">
        <v>27.9</v>
      </c>
      <c r="H73">
        <v>20.329999999999998</v>
      </c>
      <c r="I73">
        <v>24.63</v>
      </c>
      <c r="J73">
        <v>29.38</v>
      </c>
      <c r="K73">
        <v>33.049999999999997</v>
      </c>
      <c r="L73">
        <v>34.229999999999997</v>
      </c>
    </row>
    <row r="74" spans="2:12" x14ac:dyDescent="0.5">
      <c r="C74">
        <v>17.88</v>
      </c>
      <c r="D74">
        <v>26.31</v>
      </c>
      <c r="E74">
        <v>28.89</v>
      </c>
      <c r="F74">
        <v>28.62</v>
      </c>
      <c r="G74">
        <v>28.61</v>
      </c>
      <c r="H74">
        <v>20.66</v>
      </c>
      <c r="I74">
        <v>24.7</v>
      </c>
      <c r="J74">
        <v>30.11</v>
      </c>
      <c r="K74">
        <v>33.35</v>
      </c>
      <c r="L74">
        <v>34.85</v>
      </c>
    </row>
    <row r="75" spans="2:12" x14ac:dyDescent="0.5">
      <c r="C75">
        <v>18.03</v>
      </c>
      <c r="D75">
        <v>25.17</v>
      </c>
      <c r="E75">
        <v>29.73</v>
      </c>
      <c r="F75">
        <v>27.94</v>
      </c>
      <c r="G75">
        <v>28.56</v>
      </c>
      <c r="H75">
        <v>20.29</v>
      </c>
      <c r="I75">
        <v>24.52</v>
      </c>
      <c r="J75">
        <v>30.8</v>
      </c>
      <c r="K75">
        <v>33.86</v>
      </c>
      <c r="L75">
        <v>33.86</v>
      </c>
    </row>
    <row r="76" spans="2:12" x14ac:dyDescent="0.5">
      <c r="C76">
        <v>16.489999999999998</v>
      </c>
      <c r="D76">
        <v>25.88</v>
      </c>
      <c r="E76">
        <v>28.5</v>
      </c>
      <c r="F76">
        <v>28.26</v>
      </c>
      <c r="G76">
        <v>28.41</v>
      </c>
      <c r="H76">
        <v>20.32</v>
      </c>
      <c r="I76">
        <v>24.75</v>
      </c>
      <c r="J76">
        <v>30.67</v>
      </c>
      <c r="K76">
        <v>32.78</v>
      </c>
      <c r="L76">
        <v>34.89</v>
      </c>
    </row>
    <row r="77" spans="2:12" x14ac:dyDescent="0.5">
      <c r="C77">
        <v>19.25</v>
      </c>
      <c r="D77">
        <v>26.69</v>
      </c>
      <c r="E77">
        <v>31.42</v>
      </c>
      <c r="F77">
        <v>30.64</v>
      </c>
      <c r="G77">
        <v>31.36</v>
      </c>
      <c r="H77">
        <v>23.02</v>
      </c>
      <c r="I77">
        <v>26.39</v>
      </c>
      <c r="J77">
        <v>31.63</v>
      </c>
      <c r="L77">
        <v>37.42</v>
      </c>
    </row>
    <row r="78" spans="2:12" x14ac:dyDescent="0.5">
      <c r="C78">
        <v>16.440000000000001</v>
      </c>
      <c r="D78">
        <v>25.93</v>
      </c>
      <c r="E78">
        <v>31.2</v>
      </c>
      <c r="F78">
        <v>29.92</v>
      </c>
      <c r="G78">
        <v>30.46</v>
      </c>
      <c r="H78">
        <v>21.8</v>
      </c>
      <c r="I78">
        <v>26.91</v>
      </c>
      <c r="J78">
        <v>30.67</v>
      </c>
      <c r="L78">
        <v>36.130000000000003</v>
      </c>
    </row>
    <row r="79" spans="2:12" x14ac:dyDescent="0.5">
      <c r="C79">
        <v>18.149999999999999</v>
      </c>
      <c r="D79">
        <v>26.62</v>
      </c>
      <c r="E79">
        <v>29.86</v>
      </c>
      <c r="F79">
        <v>29.73</v>
      </c>
      <c r="G79">
        <v>29.95</v>
      </c>
      <c r="H79">
        <v>22.73</v>
      </c>
      <c r="I79">
        <v>27.13</v>
      </c>
      <c r="J79">
        <v>31.23</v>
      </c>
      <c r="L79">
        <v>35.86</v>
      </c>
    </row>
    <row r="80" spans="2:12" x14ac:dyDescent="0.5">
      <c r="C80">
        <v>17.940000000000001</v>
      </c>
      <c r="D80">
        <v>25.92</v>
      </c>
      <c r="E80">
        <v>29.89</v>
      </c>
      <c r="F80">
        <v>30</v>
      </c>
      <c r="G80">
        <v>29.97</v>
      </c>
      <c r="H80">
        <v>22.36</v>
      </c>
      <c r="I80">
        <v>25.66</v>
      </c>
      <c r="J80">
        <v>32.119999999999997</v>
      </c>
      <c r="L80">
        <v>37.17</v>
      </c>
    </row>
    <row r="81" spans="2:12" x14ac:dyDescent="0.5">
      <c r="C81">
        <v>17.97</v>
      </c>
      <c r="D81">
        <v>27.33</v>
      </c>
      <c r="E81">
        <v>30.32</v>
      </c>
      <c r="F81">
        <v>30.04</v>
      </c>
      <c r="G81">
        <v>29.96</v>
      </c>
      <c r="H81">
        <v>22.43</v>
      </c>
      <c r="I81">
        <v>26.21</v>
      </c>
      <c r="J81">
        <v>31.49</v>
      </c>
      <c r="L81">
        <v>36.57</v>
      </c>
    </row>
    <row r="82" spans="2:12" x14ac:dyDescent="0.5">
      <c r="E82">
        <v>30.4</v>
      </c>
      <c r="F82">
        <v>30.14</v>
      </c>
      <c r="G82">
        <v>29.9</v>
      </c>
      <c r="H82">
        <v>22.12</v>
      </c>
      <c r="I82">
        <v>26.75</v>
      </c>
      <c r="J82">
        <v>32.06</v>
      </c>
      <c r="L82">
        <v>36.119999999999997</v>
      </c>
    </row>
    <row r="84" spans="2:12" x14ac:dyDescent="0.5">
      <c r="C84">
        <f t="shared" ref="C84:L84" si="24">AVERAGE(C71:C82)</f>
        <v>17.90818181818182</v>
      </c>
      <c r="D84">
        <f t="shared" si="24"/>
        <v>26.153636363636362</v>
      </c>
      <c r="E84">
        <f t="shared" si="24"/>
        <v>29.701666666666664</v>
      </c>
      <c r="F84">
        <f t="shared" si="24"/>
        <v>29.188333333333336</v>
      </c>
      <c r="G84">
        <f t="shared" si="24"/>
        <v>29.243333333333336</v>
      </c>
      <c r="H84">
        <f t="shared" si="24"/>
        <v>21.439166666666665</v>
      </c>
      <c r="I84">
        <f t="shared" si="24"/>
        <v>25.598333333333329</v>
      </c>
      <c r="J84">
        <f t="shared" si="24"/>
        <v>30.830000000000002</v>
      </c>
      <c r="K84">
        <f t="shared" si="24"/>
        <v>33.265000000000001</v>
      </c>
      <c r="L84">
        <f t="shared" si="24"/>
        <v>35.810833333333335</v>
      </c>
    </row>
    <row r="85" spans="2:12" x14ac:dyDescent="0.5">
      <c r="C85">
        <f>C84</f>
        <v>17.90818181818182</v>
      </c>
      <c r="D85">
        <f t="shared" ref="D85:G85" si="25">D84</f>
        <v>26.153636363636362</v>
      </c>
      <c r="E85">
        <f t="shared" si="25"/>
        <v>29.701666666666664</v>
      </c>
      <c r="F85">
        <f t="shared" si="25"/>
        <v>29.188333333333336</v>
      </c>
      <c r="G85">
        <f t="shared" si="25"/>
        <v>29.243333333333336</v>
      </c>
      <c r="H85">
        <f>H84+8</f>
        <v>29.439166666666665</v>
      </c>
      <c r="I85">
        <f t="shared" ref="I85:L85" si="26">I84+8</f>
        <v>33.598333333333329</v>
      </c>
      <c r="J85">
        <f t="shared" si="26"/>
        <v>38.83</v>
      </c>
      <c r="K85">
        <f t="shared" si="26"/>
        <v>41.265000000000001</v>
      </c>
      <c r="L85">
        <f t="shared" si="26"/>
        <v>43.810833333333335</v>
      </c>
    </row>
    <row r="86" spans="2:12" x14ac:dyDescent="0.5">
      <c r="C86">
        <f t="shared" ref="C86:L86" si="27">_xlfn.STDEV.P(C71:C82)</f>
        <v>0.86541443757331138</v>
      </c>
      <c r="D86">
        <f t="shared" si="27"/>
        <v>0.53981937597467311</v>
      </c>
      <c r="E86">
        <f t="shared" si="27"/>
        <v>0.96183707329025114</v>
      </c>
      <c r="F86">
        <f t="shared" si="27"/>
        <v>0.93067030801579897</v>
      </c>
      <c r="G86">
        <f t="shared" si="27"/>
        <v>1.1108280194921665</v>
      </c>
      <c r="H86">
        <f t="shared" si="27"/>
        <v>1.0176480918710995</v>
      </c>
      <c r="I86">
        <f t="shared" si="27"/>
        <v>0.97619869334520681</v>
      </c>
      <c r="J86">
        <f t="shared" si="27"/>
        <v>0.94587701808075053</v>
      </c>
      <c r="K86">
        <f t="shared" si="27"/>
        <v>0.6461875372779432</v>
      </c>
      <c r="L86">
        <f t="shared" si="27"/>
        <v>1.1368264183926926</v>
      </c>
    </row>
    <row r="88" spans="2:12" x14ac:dyDescent="0.5">
      <c r="B88" s="5" t="s">
        <v>7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2:12" x14ac:dyDescent="0.5">
      <c r="B89" t="s">
        <v>1</v>
      </c>
      <c r="C89">
        <v>74</v>
      </c>
      <c r="D89">
        <v>69</v>
      </c>
      <c r="E89">
        <v>62</v>
      </c>
      <c r="F89">
        <v>57</v>
      </c>
      <c r="G89">
        <v>53</v>
      </c>
      <c r="H89">
        <v>50</v>
      </c>
      <c r="I89">
        <v>47</v>
      </c>
      <c r="J89">
        <v>45</v>
      </c>
      <c r="K89">
        <v>43</v>
      </c>
      <c r="L89">
        <v>41</v>
      </c>
    </row>
    <row r="90" spans="2:12" x14ac:dyDescent="0.5">
      <c r="B90" t="s">
        <v>2</v>
      </c>
      <c r="C90">
        <v>73</v>
      </c>
      <c r="D90">
        <v>120</v>
      </c>
      <c r="E90">
        <v>164</v>
      </c>
      <c r="F90">
        <v>256</v>
      </c>
      <c r="G90">
        <v>353</v>
      </c>
      <c r="H90">
        <v>427</v>
      </c>
      <c r="I90">
        <v>522</v>
      </c>
      <c r="J90">
        <v>586</v>
      </c>
      <c r="K90">
        <v>638</v>
      </c>
      <c r="L90">
        <v>705</v>
      </c>
    </row>
    <row r="91" spans="2:12" x14ac:dyDescent="0.5">
      <c r="B91" t="s">
        <v>3</v>
      </c>
      <c r="C91">
        <v>3</v>
      </c>
      <c r="D91">
        <v>4</v>
      </c>
      <c r="E91">
        <v>6</v>
      </c>
      <c r="F91">
        <v>8</v>
      </c>
      <c r="G91">
        <v>10</v>
      </c>
      <c r="H91">
        <v>12</v>
      </c>
      <c r="I91">
        <v>14</v>
      </c>
      <c r="J91">
        <v>16</v>
      </c>
      <c r="K91">
        <v>18</v>
      </c>
      <c r="L91">
        <v>20</v>
      </c>
    </row>
    <row r="92" spans="2:12" x14ac:dyDescent="0.5">
      <c r="C92">
        <v>20.309999999999999</v>
      </c>
      <c r="D92">
        <v>27.26</v>
      </c>
      <c r="E92">
        <v>30.33</v>
      </c>
      <c r="F92">
        <v>30.08</v>
      </c>
      <c r="G92">
        <v>30.46</v>
      </c>
      <c r="H92">
        <v>21.97</v>
      </c>
      <c r="I92">
        <v>25.87</v>
      </c>
      <c r="J92">
        <v>32.01</v>
      </c>
      <c r="K92">
        <v>36.44</v>
      </c>
      <c r="L92">
        <v>38.64</v>
      </c>
    </row>
    <row r="93" spans="2:12" x14ac:dyDescent="0.5">
      <c r="C93">
        <v>18.809999999999999</v>
      </c>
      <c r="D93">
        <v>26.58</v>
      </c>
      <c r="E93">
        <v>29.88</v>
      </c>
      <c r="F93">
        <v>29.2</v>
      </c>
      <c r="G93">
        <v>29.47</v>
      </c>
      <c r="H93">
        <v>21.01</v>
      </c>
      <c r="I93">
        <v>26.26</v>
      </c>
      <c r="J93">
        <v>31.58</v>
      </c>
      <c r="K93">
        <v>34.340000000000003</v>
      </c>
      <c r="L93">
        <v>37.31</v>
      </c>
    </row>
    <row r="94" spans="2:12" x14ac:dyDescent="0.5">
      <c r="C94">
        <v>18.64</v>
      </c>
      <c r="D94">
        <v>27.01</v>
      </c>
      <c r="E94">
        <v>30.36</v>
      </c>
      <c r="F94">
        <v>29.4</v>
      </c>
      <c r="G94">
        <v>29.42</v>
      </c>
      <c r="H94">
        <v>21.77</v>
      </c>
      <c r="I94">
        <v>26.22</v>
      </c>
      <c r="J94">
        <v>31.63</v>
      </c>
      <c r="K94">
        <v>35.24</v>
      </c>
      <c r="L94">
        <v>38.19</v>
      </c>
    </row>
    <row r="95" spans="2:12" x14ac:dyDescent="0.5">
      <c r="C95">
        <v>19.25</v>
      </c>
      <c r="D95">
        <v>26.54</v>
      </c>
      <c r="E95">
        <v>30.01</v>
      </c>
      <c r="F95">
        <v>29.39</v>
      </c>
      <c r="G95">
        <v>28.45</v>
      </c>
      <c r="H95">
        <v>20.97</v>
      </c>
      <c r="I95">
        <v>24.83</v>
      </c>
      <c r="J95">
        <v>31.81</v>
      </c>
      <c r="K95">
        <v>34.130000000000003</v>
      </c>
      <c r="L95">
        <v>37.07</v>
      </c>
    </row>
    <row r="96" spans="2:12" x14ac:dyDescent="0.5">
      <c r="C96">
        <v>18.57</v>
      </c>
      <c r="D96">
        <v>26.46</v>
      </c>
      <c r="E96">
        <v>30.03</v>
      </c>
      <c r="F96">
        <v>29.83</v>
      </c>
      <c r="G96">
        <v>29.17</v>
      </c>
      <c r="H96">
        <v>21.58</v>
      </c>
      <c r="I96">
        <v>25.24</v>
      </c>
      <c r="J96">
        <v>31.26</v>
      </c>
      <c r="K96">
        <v>34.65</v>
      </c>
      <c r="L96">
        <v>37.270000000000003</v>
      </c>
    </row>
    <row r="97" spans="3:12" x14ac:dyDescent="0.5">
      <c r="C97">
        <v>18.03</v>
      </c>
      <c r="D97">
        <v>24.89</v>
      </c>
      <c r="E97">
        <v>28.97</v>
      </c>
      <c r="F97">
        <v>30</v>
      </c>
      <c r="G97">
        <v>29.59</v>
      </c>
      <c r="H97">
        <v>21.15</v>
      </c>
      <c r="I97">
        <v>24.69</v>
      </c>
      <c r="J97">
        <v>31.35</v>
      </c>
      <c r="K97">
        <v>34.119999999999997</v>
      </c>
      <c r="L97">
        <v>35.69</v>
      </c>
    </row>
    <row r="98" spans="3:12" x14ac:dyDescent="0.5">
      <c r="C98">
        <v>16.5</v>
      </c>
      <c r="D98">
        <v>24.43</v>
      </c>
      <c r="E98">
        <v>29.34</v>
      </c>
      <c r="F98">
        <v>29.5</v>
      </c>
      <c r="G98">
        <v>28.3</v>
      </c>
      <c r="H98">
        <v>19.09</v>
      </c>
      <c r="I98">
        <v>23.74</v>
      </c>
      <c r="J98">
        <v>30.54</v>
      </c>
      <c r="K98">
        <v>33.950000000000003</v>
      </c>
      <c r="L98">
        <v>35.79</v>
      </c>
    </row>
    <row r="99" spans="3:12" x14ac:dyDescent="0.5">
      <c r="C99">
        <v>16.59</v>
      </c>
      <c r="D99">
        <v>24.99</v>
      </c>
      <c r="E99">
        <v>28.44</v>
      </c>
      <c r="F99">
        <v>28.11</v>
      </c>
      <c r="G99">
        <v>28.02</v>
      </c>
      <c r="H99">
        <v>18.059999999999999</v>
      </c>
      <c r="I99">
        <v>23.09</v>
      </c>
      <c r="J99">
        <v>29.78</v>
      </c>
      <c r="K99">
        <v>32.96</v>
      </c>
      <c r="L99">
        <v>34.94</v>
      </c>
    </row>
    <row r="100" spans="3:12" x14ac:dyDescent="0.5">
      <c r="C100">
        <v>16.72</v>
      </c>
      <c r="D100">
        <v>24.61</v>
      </c>
      <c r="E100">
        <v>27.97</v>
      </c>
      <c r="F100">
        <v>28.73</v>
      </c>
      <c r="G100">
        <v>27.81</v>
      </c>
      <c r="H100">
        <v>19.190000000000001</v>
      </c>
      <c r="I100">
        <v>24.09</v>
      </c>
      <c r="J100">
        <v>29.39</v>
      </c>
      <c r="K100">
        <v>33.659999999999997</v>
      </c>
      <c r="L100">
        <v>34.78</v>
      </c>
    </row>
    <row r="101" spans="3:12" x14ac:dyDescent="0.5">
      <c r="C101">
        <v>16.22</v>
      </c>
      <c r="D101">
        <v>25.23</v>
      </c>
      <c r="E101">
        <v>27.89</v>
      </c>
      <c r="F101">
        <v>27.78</v>
      </c>
      <c r="G101">
        <v>27.02</v>
      </c>
      <c r="H101">
        <v>19.43</v>
      </c>
      <c r="I101">
        <v>22.86</v>
      </c>
      <c r="J101">
        <v>29.97</v>
      </c>
      <c r="K101">
        <v>33.369999999999997</v>
      </c>
      <c r="L101">
        <v>34.93</v>
      </c>
    </row>
    <row r="102" spans="3:12" x14ac:dyDescent="0.5">
      <c r="C102">
        <v>16.309999999999999</v>
      </c>
      <c r="D102">
        <v>24.29</v>
      </c>
      <c r="E102">
        <v>28.18</v>
      </c>
      <c r="F102">
        <v>28.59</v>
      </c>
      <c r="G102">
        <v>27.33</v>
      </c>
      <c r="H102">
        <v>19.48</v>
      </c>
      <c r="I102">
        <v>22.81</v>
      </c>
      <c r="J102">
        <v>28.98</v>
      </c>
      <c r="K102">
        <v>32.85</v>
      </c>
      <c r="L102">
        <v>33.86</v>
      </c>
    </row>
    <row r="103" spans="3:12" x14ac:dyDescent="0.5">
      <c r="E103">
        <v>27.99</v>
      </c>
      <c r="F103">
        <v>27.93</v>
      </c>
      <c r="G103">
        <v>27.33</v>
      </c>
      <c r="H103">
        <v>19.29</v>
      </c>
      <c r="J103">
        <v>29.86</v>
      </c>
      <c r="K103">
        <v>33.43</v>
      </c>
      <c r="L103">
        <v>34.69</v>
      </c>
    </row>
    <row r="105" spans="3:12" x14ac:dyDescent="0.5">
      <c r="C105">
        <f>AVERAGE(C92:C102)</f>
        <v>17.813636363636363</v>
      </c>
      <c r="D105">
        <f>AVERAGE(D92:D102)</f>
        <v>25.662727272727281</v>
      </c>
      <c r="E105">
        <f t="shared" ref="E105:L105" si="28">AVERAGE(E92:E103)</f>
        <v>29.115833333333338</v>
      </c>
      <c r="F105">
        <f t="shared" si="28"/>
        <v>29.044999999999998</v>
      </c>
      <c r="G105">
        <f t="shared" si="28"/>
        <v>28.53083333333333</v>
      </c>
      <c r="H105">
        <f t="shared" si="28"/>
        <v>20.249166666666664</v>
      </c>
      <c r="I105">
        <f>AVERAGE(I92:I102)</f>
        <v>24.518181818181816</v>
      </c>
      <c r="J105">
        <f t="shared" si="28"/>
        <v>30.679999999999996</v>
      </c>
      <c r="K105">
        <f t="shared" si="28"/>
        <v>34.095000000000006</v>
      </c>
      <c r="L105">
        <f t="shared" si="28"/>
        <v>36.096666666666671</v>
      </c>
    </row>
    <row r="106" spans="3:12" x14ac:dyDescent="0.5">
      <c r="C106">
        <f>C105</f>
        <v>17.813636363636363</v>
      </c>
      <c r="D106">
        <f t="shared" ref="D106:G106" si="29">D105</f>
        <v>25.662727272727281</v>
      </c>
      <c r="E106">
        <f t="shared" si="29"/>
        <v>29.115833333333338</v>
      </c>
      <c r="F106">
        <f t="shared" si="29"/>
        <v>29.044999999999998</v>
      </c>
      <c r="G106">
        <f t="shared" si="29"/>
        <v>28.53083333333333</v>
      </c>
      <c r="H106">
        <f>H105+8</f>
        <v>28.249166666666664</v>
      </c>
      <c r="I106">
        <f t="shared" ref="I106:L106" si="30">I105+8</f>
        <v>32.518181818181816</v>
      </c>
      <c r="J106">
        <f t="shared" si="30"/>
        <v>38.679999999999993</v>
      </c>
      <c r="K106">
        <f t="shared" si="30"/>
        <v>42.095000000000006</v>
      </c>
      <c r="L106">
        <f t="shared" si="30"/>
        <v>44.096666666666671</v>
      </c>
    </row>
    <row r="107" spans="3:12" x14ac:dyDescent="0.5">
      <c r="C107">
        <f>_xlfn.STDEV.P(C92:C102)</f>
        <v>1.3419475177874387</v>
      </c>
      <c r="D107">
        <f>_xlfn.STDEV.P(D92:D102)</f>
        <v>1.0601122660024864</v>
      </c>
      <c r="E107">
        <f t="shared" ref="E107:L107" si="31">_xlfn.STDEV.P(E92:E103)</f>
        <v>0.9455373986375275</v>
      </c>
      <c r="F107">
        <f t="shared" si="31"/>
        <v>0.76917163234222263</v>
      </c>
      <c r="G107">
        <f t="shared" si="31"/>
        <v>1.0380948763105537</v>
      </c>
      <c r="H107">
        <f t="shared" si="31"/>
        <v>1.2381401262467111</v>
      </c>
      <c r="I107">
        <f>_xlfn.STDEV.P(I92:I102)</f>
        <v>1.2395513717897237</v>
      </c>
      <c r="J107">
        <f t="shared" si="31"/>
        <v>1.0043156874210415</v>
      </c>
      <c r="K107">
        <f t="shared" si="31"/>
        <v>0.96593219223711524</v>
      </c>
      <c r="L107">
        <f t="shared" si="31"/>
        <v>1.4809981619014783</v>
      </c>
    </row>
  </sheetData>
  <mergeCells count="5">
    <mergeCell ref="B1:L1"/>
    <mergeCell ref="B23:L23"/>
    <mergeCell ref="B45:L45"/>
    <mergeCell ref="B67:L67"/>
    <mergeCell ref="B88:L8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07BE-91AB-4D76-A03B-0CDC2A05CB18}">
  <dimension ref="B1:AK77"/>
  <sheetViews>
    <sheetView topLeftCell="A17" zoomScale="85" zoomScaleNormal="85" workbookViewId="0">
      <selection activeCell="AB22" sqref="AB22"/>
    </sheetView>
  </sheetViews>
  <sheetFormatPr defaultRowHeight="14.35" x14ac:dyDescent="0.5"/>
  <sheetData>
    <row r="1" spans="2:37" x14ac:dyDescent="0.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37" x14ac:dyDescent="0.5">
      <c r="B2" t="s">
        <v>1</v>
      </c>
      <c r="C2">
        <v>74</v>
      </c>
      <c r="D2">
        <v>69</v>
      </c>
      <c r="E2">
        <v>62</v>
      </c>
      <c r="F2">
        <v>57</v>
      </c>
      <c r="G2">
        <v>53</v>
      </c>
      <c r="H2">
        <v>50</v>
      </c>
      <c r="I2">
        <v>47</v>
      </c>
      <c r="J2">
        <v>45</v>
      </c>
      <c r="K2">
        <v>43</v>
      </c>
      <c r="L2">
        <v>41</v>
      </c>
    </row>
    <row r="3" spans="2:37" x14ac:dyDescent="0.5">
      <c r="B3" t="s">
        <v>2</v>
      </c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>
        <v>73</v>
      </c>
      <c r="Q3">
        <v>120</v>
      </c>
      <c r="R3">
        <v>164</v>
      </c>
      <c r="S3">
        <v>256</v>
      </c>
      <c r="T3">
        <v>353</v>
      </c>
      <c r="U3">
        <v>427</v>
      </c>
      <c r="V3">
        <v>522</v>
      </c>
      <c r="W3">
        <v>586</v>
      </c>
      <c r="X3">
        <v>638</v>
      </c>
      <c r="Y3">
        <v>705</v>
      </c>
      <c r="AB3">
        <v>73</v>
      </c>
      <c r="AC3">
        <v>120</v>
      </c>
      <c r="AD3">
        <v>164</v>
      </c>
      <c r="AE3">
        <v>256</v>
      </c>
      <c r="AF3">
        <v>353</v>
      </c>
      <c r="AG3">
        <v>427</v>
      </c>
      <c r="AH3">
        <v>522</v>
      </c>
      <c r="AI3">
        <v>586</v>
      </c>
      <c r="AJ3">
        <v>638</v>
      </c>
      <c r="AK3">
        <v>705</v>
      </c>
    </row>
    <row r="4" spans="2:37" x14ac:dyDescent="0.5">
      <c r="B4" t="s">
        <v>3</v>
      </c>
      <c r="C4">
        <v>3</v>
      </c>
      <c r="D4">
        <v>4</v>
      </c>
      <c r="E4">
        <v>6</v>
      </c>
      <c r="F4">
        <v>8</v>
      </c>
      <c r="G4">
        <v>10</v>
      </c>
      <c r="H4">
        <v>12</v>
      </c>
      <c r="I4">
        <v>14</v>
      </c>
      <c r="J4">
        <v>16</v>
      </c>
      <c r="K4">
        <v>18</v>
      </c>
      <c r="L4">
        <v>20</v>
      </c>
      <c r="O4" t="s">
        <v>8</v>
      </c>
      <c r="P4">
        <f>C15</f>
        <v>3.2650000000000006</v>
      </c>
      <c r="Q4">
        <f t="shared" ref="Q4:Y4" si="0">D15</f>
        <v>13.116666666666667</v>
      </c>
      <c r="R4">
        <f t="shared" si="0"/>
        <v>20.805</v>
      </c>
      <c r="S4">
        <f t="shared" si="0"/>
        <v>20.715</v>
      </c>
      <c r="T4">
        <f t="shared" si="0"/>
        <v>21.681666666666661</v>
      </c>
      <c r="U4">
        <f t="shared" si="0"/>
        <v>25.751666666666665</v>
      </c>
      <c r="V4">
        <f t="shared" si="0"/>
        <v>34.428333333333327</v>
      </c>
      <c r="W4">
        <f t="shared" si="0"/>
        <v>38.591666666666669</v>
      </c>
      <c r="X4">
        <f t="shared" si="0"/>
        <v>41.831666666666671</v>
      </c>
      <c r="Y4">
        <f t="shared" si="0"/>
        <v>44.008333333333333</v>
      </c>
      <c r="AA4" t="s">
        <v>8</v>
      </c>
      <c r="AB4">
        <f>P4+3</f>
        <v>6.2650000000000006</v>
      </c>
      <c r="AC4">
        <f t="shared" ref="AC4:AK8" si="1">Q4+3</f>
        <v>16.116666666666667</v>
      </c>
      <c r="AD4">
        <f t="shared" si="1"/>
        <v>23.805</v>
      </c>
      <c r="AE4">
        <f t="shared" si="1"/>
        <v>23.715</v>
      </c>
      <c r="AF4">
        <f t="shared" si="1"/>
        <v>24.681666666666661</v>
      </c>
      <c r="AG4">
        <f t="shared" si="1"/>
        <v>28.751666666666665</v>
      </c>
      <c r="AH4">
        <f t="shared" si="1"/>
        <v>37.428333333333327</v>
      </c>
      <c r="AI4">
        <f t="shared" si="1"/>
        <v>41.591666666666669</v>
      </c>
      <c r="AJ4">
        <f t="shared" si="1"/>
        <v>44.831666666666671</v>
      </c>
      <c r="AK4">
        <f t="shared" si="1"/>
        <v>47.008333333333333</v>
      </c>
    </row>
    <row r="5" spans="2:37" x14ac:dyDescent="0.5">
      <c r="C5">
        <v>4.6900000000000004</v>
      </c>
      <c r="D5">
        <v>13.8</v>
      </c>
      <c r="E5">
        <v>20.41</v>
      </c>
      <c r="F5">
        <v>21.17</v>
      </c>
      <c r="G5">
        <v>22.09</v>
      </c>
      <c r="H5">
        <v>18.190000000000001</v>
      </c>
      <c r="I5">
        <v>27.58</v>
      </c>
      <c r="J5">
        <v>30.8</v>
      </c>
      <c r="K5">
        <v>33.53</v>
      </c>
      <c r="L5">
        <v>36.79</v>
      </c>
      <c r="O5" t="s">
        <v>9</v>
      </c>
      <c r="P5">
        <f>C30</f>
        <v>3.7366666666666664</v>
      </c>
      <c r="Q5">
        <f t="shared" ref="Q5:Y5" si="2">D30</f>
        <v>13.989999999999998</v>
      </c>
      <c r="R5">
        <f t="shared" si="2"/>
        <v>20.028333333333332</v>
      </c>
      <c r="S5">
        <f t="shared" si="2"/>
        <v>20.818333333333332</v>
      </c>
      <c r="T5">
        <f t="shared" si="2"/>
        <v>21.58</v>
      </c>
      <c r="U5">
        <f t="shared" si="2"/>
        <v>25.753333333333334</v>
      </c>
      <c r="V5">
        <f t="shared" si="2"/>
        <v>34.62833333333333</v>
      </c>
      <c r="W5">
        <f t="shared" si="2"/>
        <v>39.353333333333339</v>
      </c>
      <c r="X5">
        <f t="shared" si="2"/>
        <v>42.926666666666669</v>
      </c>
      <c r="Y5">
        <f t="shared" si="2"/>
        <v>44.626666666666672</v>
      </c>
      <c r="AA5" t="s">
        <v>9</v>
      </c>
      <c r="AB5">
        <f t="shared" ref="AB5:AB8" si="3">P5+3</f>
        <v>6.7366666666666664</v>
      </c>
      <c r="AC5">
        <f t="shared" si="1"/>
        <v>16.989999999999998</v>
      </c>
      <c r="AD5">
        <f t="shared" si="1"/>
        <v>23.028333333333332</v>
      </c>
      <c r="AE5">
        <f t="shared" si="1"/>
        <v>23.818333333333332</v>
      </c>
      <c r="AF5">
        <f t="shared" si="1"/>
        <v>24.58</v>
      </c>
      <c r="AG5">
        <f t="shared" si="1"/>
        <v>28.753333333333334</v>
      </c>
      <c r="AH5">
        <f t="shared" si="1"/>
        <v>37.62833333333333</v>
      </c>
      <c r="AI5">
        <f t="shared" si="1"/>
        <v>42.353333333333339</v>
      </c>
      <c r="AJ5">
        <f t="shared" si="1"/>
        <v>45.926666666666669</v>
      </c>
      <c r="AK5">
        <f t="shared" si="1"/>
        <v>47.626666666666672</v>
      </c>
    </row>
    <row r="6" spans="2:37" x14ac:dyDescent="0.5">
      <c r="C6">
        <v>3.01</v>
      </c>
      <c r="D6">
        <v>12.81</v>
      </c>
      <c r="E6">
        <v>19.68</v>
      </c>
      <c r="F6">
        <v>20.6</v>
      </c>
      <c r="G6">
        <v>21.46</v>
      </c>
      <c r="H6">
        <v>16.71</v>
      </c>
      <c r="I6">
        <v>26.41</v>
      </c>
      <c r="J6">
        <v>30.65</v>
      </c>
      <c r="K6">
        <v>33.54</v>
      </c>
      <c r="L6">
        <v>36.520000000000003</v>
      </c>
      <c r="O6" t="s">
        <v>10</v>
      </c>
      <c r="P6">
        <f>C45</f>
        <v>14.216666666666667</v>
      </c>
      <c r="Q6">
        <f t="shared" ref="Q6:Y6" si="4">D45</f>
        <v>25.001666666666665</v>
      </c>
      <c r="R6">
        <f t="shared" si="4"/>
        <v>27.765000000000001</v>
      </c>
      <c r="S6">
        <f t="shared" si="4"/>
        <v>27.734999999999999</v>
      </c>
      <c r="T6">
        <f t="shared" si="4"/>
        <v>27.024999999999995</v>
      </c>
      <c r="U6">
        <f t="shared" si="4"/>
        <v>28.421428571428571</v>
      </c>
      <c r="V6">
        <f t="shared" si="4"/>
        <v>33.331428571428575</v>
      </c>
      <c r="W6">
        <f t="shared" si="4"/>
        <v>38.200000000000003</v>
      </c>
      <c r="X6">
        <f t="shared" si="4"/>
        <v>41.255000000000003</v>
      </c>
      <c r="Y6">
        <f t="shared" si="4"/>
        <v>42.701666666666668</v>
      </c>
      <c r="AA6" t="s">
        <v>10</v>
      </c>
      <c r="AB6">
        <f t="shared" si="3"/>
        <v>17.216666666666669</v>
      </c>
      <c r="AC6">
        <f t="shared" si="1"/>
        <v>28.001666666666665</v>
      </c>
      <c r="AD6">
        <f t="shared" si="1"/>
        <v>30.765000000000001</v>
      </c>
      <c r="AE6">
        <f t="shared" si="1"/>
        <v>30.734999999999999</v>
      </c>
      <c r="AF6">
        <f t="shared" si="1"/>
        <v>30.024999999999995</v>
      </c>
      <c r="AG6">
        <f t="shared" si="1"/>
        <v>31.421428571428571</v>
      </c>
      <c r="AH6">
        <f t="shared" si="1"/>
        <v>36.331428571428575</v>
      </c>
      <c r="AI6">
        <f t="shared" si="1"/>
        <v>41.2</v>
      </c>
      <c r="AJ6">
        <f t="shared" si="1"/>
        <v>44.255000000000003</v>
      </c>
      <c r="AK6">
        <f t="shared" si="1"/>
        <v>45.701666666666668</v>
      </c>
    </row>
    <row r="7" spans="2:37" x14ac:dyDescent="0.5">
      <c r="C7">
        <v>2.62</v>
      </c>
      <c r="D7">
        <v>13</v>
      </c>
      <c r="E7">
        <v>21.17</v>
      </c>
      <c r="F7">
        <v>20.57</v>
      </c>
      <c r="G7">
        <v>21.44</v>
      </c>
      <c r="H7">
        <v>17.3</v>
      </c>
      <c r="I7">
        <v>26.6</v>
      </c>
      <c r="J7">
        <v>29.26</v>
      </c>
      <c r="K7">
        <v>34.520000000000003</v>
      </c>
      <c r="L7">
        <v>36.17</v>
      </c>
      <c r="O7" t="s">
        <v>11</v>
      </c>
      <c r="P7">
        <f>C61</f>
        <v>17.873333333333331</v>
      </c>
      <c r="Q7">
        <f t="shared" ref="Q7:Y7" si="5">D61</f>
        <v>25.866666666666664</v>
      </c>
      <c r="R7">
        <f t="shared" si="5"/>
        <v>28.888333333333332</v>
      </c>
      <c r="S7">
        <f t="shared" si="5"/>
        <v>28.298333333333332</v>
      </c>
      <c r="T7">
        <f t="shared" si="5"/>
        <v>28.22</v>
      </c>
      <c r="U7">
        <f t="shared" si="5"/>
        <v>28.46833333333333</v>
      </c>
      <c r="V7">
        <f t="shared" si="5"/>
        <v>32.688333333333333</v>
      </c>
      <c r="W7">
        <f t="shared" si="5"/>
        <v>38.126666666666665</v>
      </c>
      <c r="X7">
        <f t="shared" si="5"/>
        <v>41.265000000000001</v>
      </c>
      <c r="Y7">
        <f t="shared" si="5"/>
        <v>43.076666666666661</v>
      </c>
      <c r="AA7" t="s">
        <v>11</v>
      </c>
      <c r="AB7">
        <f t="shared" si="3"/>
        <v>20.873333333333331</v>
      </c>
      <c r="AC7">
        <f t="shared" si="1"/>
        <v>28.866666666666664</v>
      </c>
      <c r="AD7">
        <f t="shared" si="1"/>
        <v>31.888333333333332</v>
      </c>
      <c r="AE7">
        <f t="shared" si="1"/>
        <v>31.298333333333332</v>
      </c>
      <c r="AF7">
        <f t="shared" si="1"/>
        <v>31.22</v>
      </c>
      <c r="AG7">
        <f t="shared" si="1"/>
        <v>31.46833333333333</v>
      </c>
      <c r="AH7">
        <f t="shared" si="1"/>
        <v>35.688333333333333</v>
      </c>
      <c r="AI7">
        <f t="shared" si="1"/>
        <v>41.126666666666665</v>
      </c>
      <c r="AJ7">
        <f t="shared" si="1"/>
        <v>44.265000000000001</v>
      </c>
      <c r="AK7">
        <f t="shared" si="1"/>
        <v>46.076666666666661</v>
      </c>
    </row>
    <row r="8" spans="2:37" x14ac:dyDescent="0.5">
      <c r="C8">
        <v>3.21</v>
      </c>
      <c r="D8">
        <v>12.98</v>
      </c>
      <c r="E8">
        <v>20.68</v>
      </c>
      <c r="F8">
        <v>20.38</v>
      </c>
      <c r="G8">
        <v>21.72</v>
      </c>
      <c r="H8">
        <v>17.16</v>
      </c>
      <c r="I8">
        <v>25.75</v>
      </c>
      <c r="J8">
        <v>30.59</v>
      </c>
      <c r="K8">
        <v>33.869999999999997</v>
      </c>
      <c r="L8">
        <v>35.01</v>
      </c>
      <c r="O8" t="s">
        <v>12</v>
      </c>
      <c r="P8">
        <f>C76</f>
        <v>16.728333333333335</v>
      </c>
      <c r="Q8">
        <f t="shared" ref="Q8:Y8" si="6">D76</f>
        <v>24.74</v>
      </c>
      <c r="R8">
        <f t="shared" si="6"/>
        <v>28.301666666666666</v>
      </c>
      <c r="S8">
        <f t="shared" si="6"/>
        <v>28.44</v>
      </c>
      <c r="T8">
        <f t="shared" si="6"/>
        <v>27.635000000000002</v>
      </c>
      <c r="U8">
        <f t="shared" si="6"/>
        <v>27.090000000000003</v>
      </c>
      <c r="V8">
        <f t="shared" si="6"/>
        <v>31.546666666666667</v>
      </c>
      <c r="W8">
        <f t="shared" si="6"/>
        <v>37.75333333333333</v>
      </c>
      <c r="X8">
        <f t="shared" si="6"/>
        <v>41.37</v>
      </c>
      <c r="Y8">
        <f t="shared" si="6"/>
        <v>42.831666666666671</v>
      </c>
      <c r="AA8" t="s">
        <v>12</v>
      </c>
      <c r="AB8">
        <f t="shared" si="3"/>
        <v>19.728333333333335</v>
      </c>
      <c r="AC8">
        <f t="shared" si="1"/>
        <v>27.74</v>
      </c>
      <c r="AD8">
        <f t="shared" si="1"/>
        <v>31.301666666666666</v>
      </c>
      <c r="AE8">
        <f t="shared" si="1"/>
        <v>31.44</v>
      </c>
      <c r="AF8">
        <f t="shared" si="1"/>
        <v>30.635000000000002</v>
      </c>
      <c r="AG8">
        <f t="shared" si="1"/>
        <v>30.090000000000003</v>
      </c>
      <c r="AH8">
        <f t="shared" si="1"/>
        <v>34.546666666666667</v>
      </c>
      <c r="AI8">
        <f t="shared" si="1"/>
        <v>40.75333333333333</v>
      </c>
      <c r="AJ8">
        <f t="shared" si="1"/>
        <v>44.37</v>
      </c>
      <c r="AK8">
        <f t="shared" si="1"/>
        <v>45.831666666666671</v>
      </c>
    </row>
    <row r="9" spans="2:37" x14ac:dyDescent="0.5">
      <c r="C9">
        <v>2.99</v>
      </c>
      <c r="D9">
        <v>12.72</v>
      </c>
      <c r="E9">
        <v>21.41</v>
      </c>
      <c r="F9">
        <v>20.92</v>
      </c>
      <c r="G9">
        <v>21.91</v>
      </c>
      <c r="H9">
        <v>18.68</v>
      </c>
      <c r="I9">
        <v>26</v>
      </c>
      <c r="J9">
        <v>31.38</v>
      </c>
      <c r="K9">
        <v>33.61</v>
      </c>
      <c r="L9">
        <v>35.83</v>
      </c>
    </row>
    <row r="10" spans="2:37" x14ac:dyDescent="0.5">
      <c r="C10">
        <v>3.07</v>
      </c>
      <c r="D10">
        <v>13.39</v>
      </c>
      <c r="E10">
        <v>21.48</v>
      </c>
      <c r="F10">
        <v>20.65</v>
      </c>
      <c r="G10">
        <v>21.47</v>
      </c>
      <c r="H10">
        <v>18.47</v>
      </c>
      <c r="I10">
        <v>26.23</v>
      </c>
      <c r="J10">
        <v>30.87</v>
      </c>
      <c r="K10">
        <v>33.92</v>
      </c>
      <c r="L10">
        <v>35.729999999999997</v>
      </c>
    </row>
    <row r="11" spans="2:37" x14ac:dyDescent="0.5">
      <c r="P11">
        <v>73</v>
      </c>
      <c r="Q11">
        <v>120</v>
      </c>
      <c r="R11">
        <v>164</v>
      </c>
      <c r="S11">
        <v>256</v>
      </c>
      <c r="T11">
        <v>353</v>
      </c>
      <c r="U11">
        <v>427</v>
      </c>
      <c r="V11">
        <v>522</v>
      </c>
      <c r="W11">
        <v>586</v>
      </c>
      <c r="X11">
        <v>638</v>
      </c>
      <c r="Y11">
        <v>705</v>
      </c>
    </row>
    <row r="12" spans="2:37" x14ac:dyDescent="0.5">
      <c r="O12" t="s">
        <v>8</v>
      </c>
      <c r="P12">
        <f>P4-$P$4</f>
        <v>0</v>
      </c>
      <c r="Q12">
        <f>Q4-$Q$4</f>
        <v>0</v>
      </c>
      <c r="R12">
        <f>R4-$R$4</f>
        <v>0</v>
      </c>
      <c r="S12">
        <f>S4-$S$4</f>
        <v>0</v>
      </c>
      <c r="T12">
        <f>T4-$T$4</f>
        <v>0</v>
      </c>
      <c r="U12">
        <f>U4-$U$4</f>
        <v>0</v>
      </c>
      <c r="V12">
        <f>V4-$V$4</f>
        <v>0</v>
      </c>
      <c r="W12">
        <f>W4-$W$4</f>
        <v>0</v>
      </c>
      <c r="X12">
        <f>X4-$X$4</f>
        <v>0</v>
      </c>
      <c r="Y12">
        <f>Y4-$Y$4</f>
        <v>0</v>
      </c>
    </row>
    <row r="13" spans="2:37" x14ac:dyDescent="0.5">
      <c r="O13" t="s">
        <v>9</v>
      </c>
      <c r="P13">
        <f t="shared" ref="P13:P16" si="7">P5-$P$4</f>
        <v>0.47166666666666579</v>
      </c>
      <c r="Q13">
        <f>Q5-$Q$4</f>
        <v>0.8733333333333313</v>
      </c>
      <c r="R13">
        <f t="shared" ref="R13:R16" si="8">R5-$R$4</f>
        <v>-0.77666666666666728</v>
      </c>
      <c r="S13">
        <f t="shared" ref="S13:S16" si="9">S5-$S$4</f>
        <v>0.10333333333333172</v>
      </c>
      <c r="T13">
        <f t="shared" ref="T13:T16" si="10">T5-$T$4</f>
        <v>-0.10166666666666302</v>
      </c>
      <c r="U13">
        <f t="shared" ref="U13:U16" si="11">U5-$U$4</f>
        <v>1.6666666666687036E-3</v>
      </c>
      <c r="V13">
        <f t="shared" ref="V13:V16" si="12">V5-$V$4</f>
        <v>0.20000000000000284</v>
      </c>
      <c r="W13">
        <f t="shared" ref="W13:W16" si="13">W5-$W$4</f>
        <v>0.76166666666667027</v>
      </c>
      <c r="X13">
        <f t="shared" ref="X13:X16" si="14">X5-$X$4</f>
        <v>1.0949999999999989</v>
      </c>
      <c r="Y13">
        <f t="shared" ref="Y13:Y16" si="15">Y5-$Y$4</f>
        <v>0.6183333333333394</v>
      </c>
    </row>
    <row r="14" spans="2:37" x14ac:dyDescent="0.5">
      <c r="C14">
        <f>AVERAGE(C5:C12)</f>
        <v>3.2650000000000006</v>
      </c>
      <c r="D14">
        <f t="shared" ref="D14:L14" si="16">AVERAGE(D5:D12)</f>
        <v>13.116666666666667</v>
      </c>
      <c r="E14">
        <f t="shared" si="16"/>
        <v>20.805</v>
      </c>
      <c r="F14">
        <f t="shared" si="16"/>
        <v>20.715</v>
      </c>
      <c r="G14">
        <f t="shared" si="16"/>
        <v>21.681666666666661</v>
      </c>
      <c r="H14">
        <f t="shared" si="16"/>
        <v>17.751666666666665</v>
      </c>
      <c r="I14">
        <f t="shared" si="16"/>
        <v>26.428333333333331</v>
      </c>
      <c r="J14">
        <f t="shared" si="16"/>
        <v>30.591666666666669</v>
      </c>
      <c r="K14">
        <f t="shared" si="16"/>
        <v>33.831666666666671</v>
      </c>
      <c r="L14">
        <f t="shared" si="16"/>
        <v>36.008333333333333</v>
      </c>
      <c r="O14" t="s">
        <v>10</v>
      </c>
      <c r="P14">
        <f t="shared" si="7"/>
        <v>10.951666666666666</v>
      </c>
      <c r="Q14">
        <f t="shared" ref="Q14:Q16" si="17">Q6-$Q$4</f>
        <v>11.884999999999998</v>
      </c>
      <c r="R14">
        <f t="shared" si="8"/>
        <v>6.9600000000000009</v>
      </c>
      <c r="S14">
        <f t="shared" si="9"/>
        <v>7.02</v>
      </c>
      <c r="T14">
        <f t="shared" si="10"/>
        <v>5.3433333333333337</v>
      </c>
      <c r="U14">
        <f t="shared" si="11"/>
        <v>2.6697619047619057</v>
      </c>
      <c r="V14">
        <f t="shared" si="12"/>
        <v>-1.0969047619047529</v>
      </c>
      <c r="W14">
        <f t="shared" si="13"/>
        <v>-0.39166666666666572</v>
      </c>
      <c r="X14">
        <f t="shared" si="14"/>
        <v>-0.57666666666666799</v>
      </c>
      <c r="Y14">
        <f t="shared" si="15"/>
        <v>-1.3066666666666649</v>
      </c>
    </row>
    <row r="15" spans="2:37" x14ac:dyDescent="0.5">
      <c r="C15">
        <f>C14</f>
        <v>3.2650000000000006</v>
      </c>
      <c r="D15">
        <f t="shared" ref="D15:G15" si="18">D14</f>
        <v>13.116666666666667</v>
      </c>
      <c r="E15">
        <f t="shared" si="18"/>
        <v>20.805</v>
      </c>
      <c r="F15">
        <f t="shared" si="18"/>
        <v>20.715</v>
      </c>
      <c r="G15">
        <f t="shared" si="18"/>
        <v>21.681666666666661</v>
      </c>
      <c r="H15">
        <f>H14+8</f>
        <v>25.751666666666665</v>
      </c>
      <c r="I15">
        <f t="shared" ref="I15:L15" si="19">I14+8</f>
        <v>34.428333333333327</v>
      </c>
      <c r="J15">
        <f t="shared" si="19"/>
        <v>38.591666666666669</v>
      </c>
      <c r="K15">
        <f t="shared" si="19"/>
        <v>41.831666666666671</v>
      </c>
      <c r="L15">
        <f t="shared" si="19"/>
        <v>44.008333333333333</v>
      </c>
      <c r="O15" t="s">
        <v>11</v>
      </c>
      <c r="P15">
        <f t="shared" si="7"/>
        <v>14.608333333333331</v>
      </c>
      <c r="Q15">
        <f t="shared" si="17"/>
        <v>12.749999999999996</v>
      </c>
      <c r="R15">
        <f t="shared" si="8"/>
        <v>8.0833333333333321</v>
      </c>
      <c r="S15">
        <f t="shared" si="9"/>
        <v>7.5833333333333321</v>
      </c>
      <c r="T15">
        <f t="shared" si="10"/>
        <v>6.5383333333333375</v>
      </c>
      <c r="U15">
        <f t="shared" si="11"/>
        <v>2.716666666666665</v>
      </c>
      <c r="V15">
        <f t="shared" si="12"/>
        <v>-1.7399999999999949</v>
      </c>
      <c r="W15">
        <f t="shared" si="13"/>
        <v>-0.46500000000000341</v>
      </c>
      <c r="X15">
        <f t="shared" si="14"/>
        <v>-0.56666666666666998</v>
      </c>
      <c r="Y15">
        <f t="shared" si="15"/>
        <v>-0.93166666666667197</v>
      </c>
    </row>
    <row r="16" spans="2:37" x14ac:dyDescent="0.5">
      <c r="C16">
        <f>_xlfn.STDEV.P(C5:C12)</f>
        <v>0.66185975352285098</v>
      </c>
      <c r="D16">
        <f t="shared" ref="D16:L16" si="20">_xlfn.STDEV.P(D5:D11)</f>
        <v>0.37088482788536337</v>
      </c>
      <c r="E16">
        <f t="shared" si="20"/>
        <v>0.6314203565507428</v>
      </c>
      <c r="F16">
        <f t="shared" si="20"/>
        <v>0.258118189982807</v>
      </c>
      <c r="G16">
        <f t="shared" si="20"/>
        <v>0.24922658142519383</v>
      </c>
      <c r="H16">
        <f t="shared" si="20"/>
        <v>0.73133249772057973</v>
      </c>
      <c r="I16">
        <f t="shared" si="20"/>
        <v>0.58296416890081815</v>
      </c>
      <c r="J16">
        <f t="shared" si="20"/>
        <v>0.64795618850522707</v>
      </c>
      <c r="K16">
        <f t="shared" si="20"/>
        <v>0.34358000847287806</v>
      </c>
      <c r="L16">
        <f t="shared" si="20"/>
        <v>0.57805468791648396</v>
      </c>
      <c r="O16" t="s">
        <v>12</v>
      </c>
      <c r="P16">
        <f t="shared" si="7"/>
        <v>13.463333333333335</v>
      </c>
      <c r="Q16">
        <f t="shared" si="17"/>
        <v>11.623333333333331</v>
      </c>
      <c r="R16">
        <f t="shared" si="8"/>
        <v>7.4966666666666661</v>
      </c>
      <c r="S16">
        <f t="shared" si="9"/>
        <v>7.7250000000000014</v>
      </c>
      <c r="T16">
        <f t="shared" si="10"/>
        <v>5.9533333333333402</v>
      </c>
      <c r="U16">
        <f t="shared" si="11"/>
        <v>1.3383333333333383</v>
      </c>
      <c r="V16">
        <f t="shared" si="12"/>
        <v>-2.8816666666666606</v>
      </c>
      <c r="W16">
        <f t="shared" si="13"/>
        <v>-0.83833333333333826</v>
      </c>
      <c r="X16">
        <f t="shared" si="14"/>
        <v>-0.46166666666667311</v>
      </c>
      <c r="Y16">
        <f t="shared" si="15"/>
        <v>-1.1766666666666623</v>
      </c>
    </row>
    <row r="18" spans="2:12" x14ac:dyDescent="0.5">
      <c r="B18" s="5" t="s">
        <v>4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x14ac:dyDescent="0.5">
      <c r="B19" t="s">
        <v>1</v>
      </c>
      <c r="C19">
        <v>74</v>
      </c>
      <c r="D19">
        <v>69</v>
      </c>
      <c r="E19">
        <v>62</v>
      </c>
      <c r="F19">
        <v>57</v>
      </c>
      <c r="G19">
        <v>53</v>
      </c>
      <c r="H19">
        <v>50</v>
      </c>
      <c r="I19">
        <v>47</v>
      </c>
      <c r="J19">
        <v>45</v>
      </c>
      <c r="K19">
        <v>43</v>
      </c>
      <c r="L19">
        <v>41</v>
      </c>
    </row>
    <row r="20" spans="2:12" x14ac:dyDescent="0.5">
      <c r="B20" t="s">
        <v>2</v>
      </c>
      <c r="C20">
        <v>73</v>
      </c>
      <c r="D20">
        <v>120</v>
      </c>
      <c r="E20">
        <v>164</v>
      </c>
      <c r="F20">
        <v>256</v>
      </c>
      <c r="G20">
        <v>353</v>
      </c>
      <c r="H20">
        <v>427</v>
      </c>
      <c r="I20">
        <v>522</v>
      </c>
      <c r="J20">
        <v>586</v>
      </c>
      <c r="K20">
        <v>638</v>
      </c>
      <c r="L20">
        <v>705</v>
      </c>
    </row>
    <row r="21" spans="2:12" x14ac:dyDescent="0.5">
      <c r="B21" t="s">
        <v>3</v>
      </c>
      <c r="C21">
        <v>3</v>
      </c>
      <c r="D21">
        <v>4</v>
      </c>
      <c r="E21">
        <v>6</v>
      </c>
      <c r="F21">
        <v>8</v>
      </c>
      <c r="G21">
        <v>10</v>
      </c>
      <c r="H21">
        <v>12</v>
      </c>
      <c r="I21">
        <v>14</v>
      </c>
      <c r="J21">
        <v>16</v>
      </c>
      <c r="K21">
        <v>18</v>
      </c>
      <c r="L21">
        <v>20</v>
      </c>
    </row>
    <row r="22" spans="2:12" x14ac:dyDescent="0.5">
      <c r="C22">
        <v>5.27</v>
      </c>
      <c r="D22">
        <v>14.6</v>
      </c>
      <c r="E22">
        <v>20.41</v>
      </c>
      <c r="F22">
        <v>20.93</v>
      </c>
      <c r="G22">
        <v>22.47</v>
      </c>
      <c r="H22">
        <v>18.920000000000002</v>
      </c>
      <c r="I22">
        <v>27.7</v>
      </c>
      <c r="J22">
        <v>32.200000000000003</v>
      </c>
      <c r="K22">
        <v>35.04</v>
      </c>
      <c r="L22">
        <v>36.729999999999997</v>
      </c>
    </row>
    <row r="23" spans="2:12" x14ac:dyDescent="0.5">
      <c r="C23">
        <v>2.64</v>
      </c>
      <c r="D23">
        <v>13.6</v>
      </c>
      <c r="E23">
        <v>19.77</v>
      </c>
      <c r="F23">
        <v>20.64</v>
      </c>
      <c r="G23">
        <v>21.46</v>
      </c>
      <c r="H23">
        <v>17.72</v>
      </c>
      <c r="I23">
        <v>26.31</v>
      </c>
      <c r="J23">
        <v>31.48</v>
      </c>
      <c r="K23">
        <v>35.18</v>
      </c>
      <c r="L23">
        <v>36.799999999999997</v>
      </c>
    </row>
    <row r="24" spans="2:12" x14ac:dyDescent="0.5">
      <c r="C24">
        <v>4.3499999999999996</v>
      </c>
      <c r="D24">
        <v>13.68</v>
      </c>
      <c r="E24">
        <v>19.96</v>
      </c>
      <c r="F24">
        <v>20.86</v>
      </c>
      <c r="G24">
        <v>21.36</v>
      </c>
      <c r="H24">
        <v>17.11</v>
      </c>
      <c r="I24">
        <v>26.07</v>
      </c>
      <c r="J24">
        <v>30.54</v>
      </c>
      <c r="K24">
        <v>34.71</v>
      </c>
      <c r="L24">
        <v>36.28</v>
      </c>
    </row>
    <row r="25" spans="2:12" x14ac:dyDescent="0.5">
      <c r="C25">
        <v>3.09</v>
      </c>
      <c r="D25">
        <v>13.72</v>
      </c>
      <c r="E25">
        <v>19.739999999999998</v>
      </c>
      <c r="F25">
        <v>20.96</v>
      </c>
      <c r="G25">
        <v>21.43</v>
      </c>
      <c r="H25">
        <v>17.53</v>
      </c>
      <c r="I25">
        <v>27.14</v>
      </c>
      <c r="J25">
        <v>30.76</v>
      </c>
      <c r="K25">
        <v>35.32</v>
      </c>
      <c r="L25">
        <v>37.049999999999997</v>
      </c>
    </row>
    <row r="26" spans="2:12" x14ac:dyDescent="0.5">
      <c r="C26">
        <v>3.59</v>
      </c>
      <c r="D26">
        <v>14.27</v>
      </c>
      <c r="E26">
        <v>19.73</v>
      </c>
      <c r="F26">
        <v>20.91</v>
      </c>
      <c r="G26">
        <v>21.28</v>
      </c>
      <c r="H26">
        <v>18.309999999999999</v>
      </c>
      <c r="I26">
        <v>25.71</v>
      </c>
      <c r="J26">
        <v>31.39</v>
      </c>
      <c r="K26">
        <v>34.619999999999997</v>
      </c>
      <c r="L26">
        <v>35.92</v>
      </c>
    </row>
    <row r="27" spans="2:12" x14ac:dyDescent="0.5">
      <c r="C27">
        <v>3.48</v>
      </c>
      <c r="D27">
        <v>14.32</v>
      </c>
      <c r="E27">
        <v>20.56</v>
      </c>
      <c r="F27">
        <v>20.61</v>
      </c>
      <c r="G27">
        <v>21.48</v>
      </c>
      <c r="H27">
        <v>16.93</v>
      </c>
      <c r="I27">
        <v>26.84</v>
      </c>
      <c r="J27">
        <v>31.75</v>
      </c>
      <c r="K27">
        <v>34.69</v>
      </c>
      <c r="L27">
        <v>36.979999999999997</v>
      </c>
    </row>
    <row r="28" spans="2:12" x14ac:dyDescent="0.5">
      <c r="D28">
        <v>13.74</v>
      </c>
    </row>
    <row r="29" spans="2:12" x14ac:dyDescent="0.5">
      <c r="C29">
        <f t="shared" ref="C29:L29" si="21">AVERAGE(C22:C28)</f>
        <v>3.7366666666666664</v>
      </c>
      <c r="D29">
        <f t="shared" si="21"/>
        <v>13.989999999999998</v>
      </c>
      <c r="E29">
        <f t="shared" si="21"/>
        <v>20.028333333333332</v>
      </c>
      <c r="F29">
        <f t="shared" si="21"/>
        <v>20.818333333333332</v>
      </c>
      <c r="G29">
        <f t="shared" si="21"/>
        <v>21.58</v>
      </c>
      <c r="H29">
        <f t="shared" si="21"/>
        <v>17.753333333333334</v>
      </c>
      <c r="I29">
        <f t="shared" si="21"/>
        <v>26.628333333333334</v>
      </c>
      <c r="J29">
        <f t="shared" si="21"/>
        <v>31.353333333333335</v>
      </c>
      <c r="K29">
        <f t="shared" si="21"/>
        <v>34.926666666666669</v>
      </c>
      <c r="L29">
        <f t="shared" si="21"/>
        <v>36.626666666666672</v>
      </c>
    </row>
    <row r="30" spans="2:12" x14ac:dyDescent="0.5">
      <c r="C30">
        <f>C29</f>
        <v>3.7366666666666664</v>
      </c>
      <c r="D30">
        <f t="shared" ref="D30:G30" si="22">D29</f>
        <v>13.989999999999998</v>
      </c>
      <c r="E30">
        <f t="shared" si="22"/>
        <v>20.028333333333332</v>
      </c>
      <c r="F30">
        <f t="shared" si="22"/>
        <v>20.818333333333332</v>
      </c>
      <c r="G30">
        <f t="shared" si="22"/>
        <v>21.58</v>
      </c>
      <c r="H30">
        <f>H29+8</f>
        <v>25.753333333333334</v>
      </c>
      <c r="I30">
        <f t="shared" ref="I30:L30" si="23">I29+8</f>
        <v>34.62833333333333</v>
      </c>
      <c r="J30">
        <f t="shared" si="23"/>
        <v>39.353333333333339</v>
      </c>
      <c r="K30">
        <f t="shared" si="23"/>
        <v>42.926666666666669</v>
      </c>
      <c r="L30">
        <f t="shared" si="23"/>
        <v>44.626666666666672</v>
      </c>
    </row>
    <row r="31" spans="2:12" x14ac:dyDescent="0.5">
      <c r="C31">
        <f t="shared" ref="C31:L31" si="24">_xlfn.STDEV.P(C22:C28)</f>
        <v>0.85979971828069202</v>
      </c>
      <c r="D31">
        <f t="shared" si="24"/>
        <v>0.36703444758535353</v>
      </c>
      <c r="E31">
        <f t="shared" si="24"/>
        <v>0.334634958657274</v>
      </c>
      <c r="F31">
        <f t="shared" si="24"/>
        <v>0.14016854933337314</v>
      </c>
      <c r="G31">
        <f t="shared" si="24"/>
        <v>0.40360872141221077</v>
      </c>
      <c r="H31">
        <f t="shared" si="24"/>
        <v>0.68480329698064102</v>
      </c>
      <c r="I31">
        <f t="shared" si="24"/>
        <v>0.67224540823191092</v>
      </c>
      <c r="J31">
        <f t="shared" si="24"/>
        <v>0.56349110216774767</v>
      </c>
      <c r="K31">
        <f t="shared" si="24"/>
        <v>0.26731171982454477</v>
      </c>
      <c r="L31">
        <f t="shared" si="24"/>
        <v>0.4009017613109484</v>
      </c>
    </row>
    <row r="33" spans="2:12" x14ac:dyDescent="0.5">
      <c r="B33" s="5" t="s">
        <v>5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x14ac:dyDescent="0.5">
      <c r="B34" t="s">
        <v>1</v>
      </c>
      <c r="C34">
        <v>74</v>
      </c>
      <c r="D34">
        <v>69</v>
      </c>
      <c r="E34">
        <v>62</v>
      </c>
      <c r="F34">
        <v>57</v>
      </c>
      <c r="G34">
        <v>53</v>
      </c>
      <c r="H34">
        <v>50</v>
      </c>
      <c r="I34">
        <v>47</v>
      </c>
      <c r="J34">
        <v>45</v>
      </c>
      <c r="K34">
        <v>43</v>
      </c>
      <c r="L34">
        <v>41</v>
      </c>
    </row>
    <row r="35" spans="2:12" x14ac:dyDescent="0.5">
      <c r="B35" t="s">
        <v>2</v>
      </c>
      <c r="C35">
        <v>73</v>
      </c>
      <c r="D35">
        <v>120</v>
      </c>
      <c r="E35">
        <v>164</v>
      </c>
      <c r="F35">
        <v>256</v>
      </c>
      <c r="G35">
        <v>353</v>
      </c>
      <c r="H35">
        <v>427</v>
      </c>
      <c r="I35">
        <v>522</v>
      </c>
      <c r="J35">
        <v>586</v>
      </c>
      <c r="K35">
        <v>638</v>
      </c>
      <c r="L35">
        <v>705</v>
      </c>
    </row>
    <row r="36" spans="2:12" x14ac:dyDescent="0.5">
      <c r="B36" t="s">
        <v>3</v>
      </c>
      <c r="C36">
        <v>3</v>
      </c>
      <c r="D36">
        <v>4</v>
      </c>
      <c r="E36">
        <v>6</v>
      </c>
      <c r="F36">
        <v>8</v>
      </c>
      <c r="G36">
        <v>10</v>
      </c>
      <c r="H36">
        <v>12</v>
      </c>
      <c r="I36">
        <v>14</v>
      </c>
      <c r="J36">
        <v>16</v>
      </c>
      <c r="K36">
        <v>18</v>
      </c>
      <c r="L36">
        <v>20</v>
      </c>
    </row>
    <row r="37" spans="2:12" x14ac:dyDescent="0.5">
      <c r="C37">
        <v>16.2</v>
      </c>
      <c r="D37">
        <v>25.14</v>
      </c>
      <c r="E37">
        <v>28.67</v>
      </c>
      <c r="F37">
        <v>28.13</v>
      </c>
      <c r="G37">
        <v>27.25</v>
      </c>
      <c r="H37">
        <v>20.89</v>
      </c>
      <c r="I37">
        <v>26.07</v>
      </c>
      <c r="J37">
        <v>30.47</v>
      </c>
      <c r="K37">
        <v>33.18</v>
      </c>
      <c r="L37">
        <v>35.42</v>
      </c>
    </row>
    <row r="38" spans="2:12" x14ac:dyDescent="0.5">
      <c r="C38">
        <v>13.48</v>
      </c>
      <c r="D38">
        <v>25.24</v>
      </c>
      <c r="E38">
        <v>28.32</v>
      </c>
      <c r="F38">
        <v>28.23</v>
      </c>
      <c r="G38">
        <v>26.86</v>
      </c>
      <c r="H38">
        <v>19.489999999999998</v>
      </c>
      <c r="I38">
        <v>26.09</v>
      </c>
      <c r="J38">
        <v>28.81</v>
      </c>
      <c r="K38">
        <v>33.32</v>
      </c>
      <c r="L38">
        <v>34.94</v>
      </c>
    </row>
    <row r="39" spans="2:12" x14ac:dyDescent="0.5">
      <c r="C39">
        <v>13.91</v>
      </c>
      <c r="D39">
        <v>24.3</v>
      </c>
      <c r="E39">
        <v>27.59</v>
      </c>
      <c r="F39">
        <v>27.68</v>
      </c>
      <c r="G39">
        <v>27.24</v>
      </c>
      <c r="H39">
        <v>20.98</v>
      </c>
      <c r="I39">
        <v>25.63</v>
      </c>
      <c r="J39">
        <v>30.6</v>
      </c>
      <c r="K39">
        <v>33.619999999999997</v>
      </c>
      <c r="L39">
        <v>35.82</v>
      </c>
    </row>
    <row r="40" spans="2:12" x14ac:dyDescent="0.5">
      <c r="C40">
        <v>13.68</v>
      </c>
      <c r="D40">
        <v>25.5</v>
      </c>
      <c r="E40">
        <v>27.11</v>
      </c>
      <c r="F40">
        <v>27.69</v>
      </c>
      <c r="G40">
        <v>26.93</v>
      </c>
      <c r="H40">
        <v>20.75</v>
      </c>
      <c r="I40">
        <v>25.06</v>
      </c>
      <c r="J40">
        <v>30.11</v>
      </c>
      <c r="K40">
        <v>32.340000000000003</v>
      </c>
      <c r="L40">
        <v>35.020000000000003</v>
      </c>
    </row>
    <row r="41" spans="2:12" x14ac:dyDescent="0.5">
      <c r="C41">
        <v>13.45</v>
      </c>
      <c r="D41">
        <v>24.42</v>
      </c>
      <c r="E41">
        <v>27.27</v>
      </c>
      <c r="F41">
        <v>27.4</v>
      </c>
      <c r="G41">
        <v>26.98</v>
      </c>
      <c r="H41">
        <v>20.03</v>
      </c>
      <c r="I41">
        <v>25.15</v>
      </c>
      <c r="J41">
        <v>29.8</v>
      </c>
      <c r="K41">
        <v>33.24</v>
      </c>
      <c r="L41">
        <v>33.69</v>
      </c>
    </row>
    <row r="42" spans="2:12" x14ac:dyDescent="0.5">
      <c r="C42">
        <v>14.58</v>
      </c>
      <c r="D42">
        <v>25.41</v>
      </c>
      <c r="E42">
        <v>27.63</v>
      </c>
      <c r="F42">
        <v>27.28</v>
      </c>
      <c r="G42">
        <v>26.89</v>
      </c>
      <c r="H42">
        <v>20.420000000000002</v>
      </c>
      <c r="I42">
        <v>24.17</v>
      </c>
      <c r="J42">
        <v>31.41</v>
      </c>
      <c r="K42">
        <v>33.83</v>
      </c>
      <c r="L42">
        <v>33.32</v>
      </c>
    </row>
    <row r="43" spans="2:12" x14ac:dyDescent="0.5">
      <c r="H43">
        <v>20.39</v>
      </c>
      <c r="I43">
        <v>25.15</v>
      </c>
    </row>
    <row r="44" spans="2:12" x14ac:dyDescent="0.5">
      <c r="C44">
        <f t="shared" ref="C44:L44" si="25">AVERAGE(C37:C42)</f>
        <v>14.216666666666667</v>
      </c>
      <c r="D44">
        <f t="shared" si="25"/>
        <v>25.001666666666665</v>
      </c>
      <c r="E44">
        <f t="shared" si="25"/>
        <v>27.765000000000001</v>
      </c>
      <c r="F44">
        <f t="shared" si="25"/>
        <v>27.734999999999999</v>
      </c>
      <c r="G44">
        <f t="shared" si="25"/>
        <v>27.024999999999995</v>
      </c>
      <c r="H44">
        <f>AVERAGE(H37:H43)</f>
        <v>20.421428571428571</v>
      </c>
      <c r="I44">
        <f>AVERAGE(I37:I43)</f>
        <v>25.331428571428575</v>
      </c>
      <c r="J44">
        <f t="shared" si="25"/>
        <v>30.2</v>
      </c>
      <c r="K44">
        <f t="shared" si="25"/>
        <v>33.255000000000003</v>
      </c>
      <c r="L44">
        <f t="shared" si="25"/>
        <v>34.701666666666668</v>
      </c>
    </row>
    <row r="45" spans="2:12" x14ac:dyDescent="0.5">
      <c r="C45">
        <f>C44</f>
        <v>14.216666666666667</v>
      </c>
      <c r="D45">
        <f t="shared" ref="D45:G45" si="26">D44</f>
        <v>25.001666666666665</v>
      </c>
      <c r="E45">
        <f t="shared" si="26"/>
        <v>27.765000000000001</v>
      </c>
      <c r="F45">
        <f t="shared" si="26"/>
        <v>27.734999999999999</v>
      </c>
      <c r="G45">
        <f t="shared" si="26"/>
        <v>27.024999999999995</v>
      </c>
      <c r="H45">
        <f>H44+8</f>
        <v>28.421428571428571</v>
      </c>
      <c r="I45">
        <f t="shared" ref="I45:L45" si="27">I44+8</f>
        <v>33.331428571428575</v>
      </c>
      <c r="J45">
        <f t="shared" si="27"/>
        <v>38.200000000000003</v>
      </c>
      <c r="K45">
        <f t="shared" si="27"/>
        <v>41.255000000000003</v>
      </c>
      <c r="L45">
        <f t="shared" si="27"/>
        <v>42.701666666666668</v>
      </c>
    </row>
    <row r="46" spans="2:12" x14ac:dyDescent="0.5">
      <c r="C46">
        <f t="shared" ref="C46:L46" si="28">_xlfn.STDEV.P(C37:C42)</f>
        <v>0.96420375900993482</v>
      </c>
      <c r="D46">
        <f t="shared" si="28"/>
        <v>0.46934055392172858</v>
      </c>
      <c r="E46">
        <f t="shared" si="28"/>
        <v>0.55527020449507358</v>
      </c>
      <c r="F46">
        <f t="shared" si="28"/>
        <v>0.34769478953051136</v>
      </c>
      <c r="G46">
        <f t="shared" si="28"/>
        <v>0.15986973864159917</v>
      </c>
      <c r="H46">
        <f>_xlfn.STDEV.P(H37:H43)</f>
        <v>0.48716170889371563</v>
      </c>
      <c r="I46">
        <f>_xlfn.STDEV.P(I37:I43)</f>
        <v>0.62088481957902064</v>
      </c>
      <c r="J46">
        <f t="shared" si="28"/>
        <v>0.79552917398840073</v>
      </c>
      <c r="K46">
        <f t="shared" si="28"/>
        <v>0.46746657634530231</v>
      </c>
      <c r="L46">
        <f t="shared" si="28"/>
        <v>0.89974842162808133</v>
      </c>
    </row>
    <row r="48" spans="2:12" x14ac:dyDescent="0.5">
      <c r="B48" s="5" t="s">
        <v>6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12" x14ac:dyDescent="0.5">
      <c r="B49" t="s">
        <v>1</v>
      </c>
      <c r="C49">
        <v>74</v>
      </c>
      <c r="D49">
        <v>69</v>
      </c>
      <c r="E49">
        <v>62</v>
      </c>
      <c r="F49">
        <v>57</v>
      </c>
      <c r="G49">
        <v>53</v>
      </c>
      <c r="H49">
        <v>50</v>
      </c>
      <c r="I49">
        <v>47</v>
      </c>
      <c r="J49">
        <v>45</v>
      </c>
      <c r="K49">
        <v>43</v>
      </c>
      <c r="L49">
        <v>41</v>
      </c>
    </row>
    <row r="50" spans="2:12" x14ac:dyDescent="0.5">
      <c r="B50" t="s">
        <v>2</v>
      </c>
      <c r="C50">
        <v>73</v>
      </c>
      <c r="D50">
        <v>120</v>
      </c>
      <c r="E50">
        <v>164</v>
      </c>
      <c r="F50">
        <v>256</v>
      </c>
      <c r="G50">
        <v>353</v>
      </c>
      <c r="H50">
        <v>427</v>
      </c>
      <c r="I50">
        <v>522</v>
      </c>
      <c r="J50">
        <v>586</v>
      </c>
      <c r="K50">
        <v>638</v>
      </c>
      <c r="L50">
        <v>705</v>
      </c>
    </row>
    <row r="51" spans="2:12" x14ac:dyDescent="0.5">
      <c r="B51" t="s">
        <v>3</v>
      </c>
      <c r="C51">
        <v>3</v>
      </c>
      <c r="D51">
        <v>4</v>
      </c>
      <c r="E51">
        <v>6</v>
      </c>
      <c r="F51">
        <v>8</v>
      </c>
      <c r="G51">
        <v>10</v>
      </c>
      <c r="H51">
        <v>12</v>
      </c>
      <c r="I51">
        <v>14</v>
      </c>
      <c r="J51">
        <v>16</v>
      </c>
      <c r="K51">
        <v>18</v>
      </c>
      <c r="L51">
        <v>20</v>
      </c>
    </row>
    <row r="52" spans="2:12" x14ac:dyDescent="0.5">
      <c r="C52">
        <v>19.100000000000001</v>
      </c>
      <c r="D52">
        <v>26.05</v>
      </c>
      <c r="E52">
        <v>28.54</v>
      </c>
      <c r="F52">
        <v>28.62</v>
      </c>
      <c r="G52">
        <v>27.97</v>
      </c>
      <c r="H52">
        <v>20.74</v>
      </c>
      <c r="I52">
        <v>24.87</v>
      </c>
      <c r="J52">
        <v>30.88</v>
      </c>
      <c r="K52">
        <v>34.24</v>
      </c>
      <c r="L52">
        <v>37.24</v>
      </c>
    </row>
    <row r="53" spans="2:12" x14ac:dyDescent="0.5">
      <c r="C53">
        <v>18.489999999999998</v>
      </c>
      <c r="D53">
        <v>25.91</v>
      </c>
      <c r="E53">
        <v>28.93</v>
      </c>
      <c r="F53">
        <v>28.33</v>
      </c>
      <c r="G53">
        <v>27.87</v>
      </c>
      <c r="H53">
        <v>20.47</v>
      </c>
      <c r="I53">
        <v>24.66</v>
      </c>
      <c r="J53">
        <v>28.92</v>
      </c>
      <c r="K53">
        <v>32.31</v>
      </c>
      <c r="L53">
        <v>35.39</v>
      </c>
    </row>
    <row r="54" spans="2:12" x14ac:dyDescent="0.5">
      <c r="C54">
        <v>17.25</v>
      </c>
      <c r="D54">
        <v>25.88</v>
      </c>
      <c r="E54">
        <v>28.74</v>
      </c>
      <c r="F54">
        <v>28.02</v>
      </c>
      <c r="G54">
        <v>27.9</v>
      </c>
      <c r="H54">
        <v>20.329999999999998</v>
      </c>
      <c r="I54">
        <v>24.63</v>
      </c>
      <c r="J54">
        <v>29.38</v>
      </c>
      <c r="K54">
        <v>33.049999999999997</v>
      </c>
      <c r="L54">
        <v>34.229999999999997</v>
      </c>
    </row>
    <row r="55" spans="2:12" x14ac:dyDescent="0.5">
      <c r="C55">
        <v>17.88</v>
      </c>
      <c r="D55">
        <v>26.31</v>
      </c>
      <c r="E55">
        <v>28.89</v>
      </c>
      <c r="F55">
        <v>28.62</v>
      </c>
      <c r="G55">
        <v>28.61</v>
      </c>
      <c r="H55">
        <v>20.66</v>
      </c>
      <c r="I55">
        <v>24.7</v>
      </c>
      <c r="J55">
        <v>30.11</v>
      </c>
      <c r="K55">
        <v>33.35</v>
      </c>
      <c r="L55">
        <v>34.85</v>
      </c>
    </row>
    <row r="56" spans="2:12" x14ac:dyDescent="0.5">
      <c r="C56">
        <v>18.03</v>
      </c>
      <c r="D56">
        <v>25.17</v>
      </c>
      <c r="E56">
        <v>29.73</v>
      </c>
      <c r="F56">
        <v>27.94</v>
      </c>
      <c r="G56">
        <v>28.56</v>
      </c>
      <c r="H56">
        <v>20.29</v>
      </c>
      <c r="I56">
        <v>24.52</v>
      </c>
      <c r="J56">
        <v>30.8</v>
      </c>
      <c r="K56">
        <v>33.86</v>
      </c>
      <c r="L56">
        <v>33.86</v>
      </c>
    </row>
    <row r="57" spans="2:12" x14ac:dyDescent="0.5">
      <c r="C57">
        <v>16.489999999999998</v>
      </c>
      <c r="D57">
        <v>25.88</v>
      </c>
      <c r="E57">
        <v>28.5</v>
      </c>
      <c r="F57">
        <v>28.26</v>
      </c>
      <c r="G57">
        <v>28.41</v>
      </c>
      <c r="H57">
        <v>20.32</v>
      </c>
      <c r="I57">
        <v>24.75</v>
      </c>
      <c r="J57">
        <v>30.67</v>
      </c>
      <c r="K57">
        <v>32.78</v>
      </c>
      <c r="L57">
        <v>34.89</v>
      </c>
    </row>
    <row r="60" spans="2:12" x14ac:dyDescent="0.5">
      <c r="C60">
        <f>AVERAGE(C52:C58)</f>
        <v>17.873333333333331</v>
      </c>
      <c r="D60">
        <f t="shared" ref="D60:J60" si="29">AVERAGE(D52:D58)</f>
        <v>25.866666666666664</v>
      </c>
      <c r="E60">
        <f t="shared" si="29"/>
        <v>28.888333333333332</v>
      </c>
      <c r="F60">
        <f t="shared" si="29"/>
        <v>28.298333333333332</v>
      </c>
      <c r="G60">
        <f t="shared" si="29"/>
        <v>28.22</v>
      </c>
      <c r="H60">
        <f t="shared" si="29"/>
        <v>20.46833333333333</v>
      </c>
      <c r="I60">
        <f t="shared" si="29"/>
        <v>24.688333333333333</v>
      </c>
      <c r="J60">
        <f t="shared" si="29"/>
        <v>30.126666666666665</v>
      </c>
      <c r="K60">
        <f t="shared" ref="K60:L60" si="30">AVERAGE(K52:K58)</f>
        <v>33.265000000000001</v>
      </c>
      <c r="L60">
        <f t="shared" si="30"/>
        <v>35.076666666666661</v>
      </c>
    </row>
    <row r="61" spans="2:12" x14ac:dyDescent="0.5">
      <c r="C61">
        <f>C60</f>
        <v>17.873333333333331</v>
      </c>
      <c r="D61">
        <f t="shared" ref="D61:G61" si="31">D60</f>
        <v>25.866666666666664</v>
      </c>
      <c r="E61">
        <f t="shared" si="31"/>
        <v>28.888333333333332</v>
      </c>
      <c r="F61">
        <f t="shared" si="31"/>
        <v>28.298333333333332</v>
      </c>
      <c r="G61">
        <f t="shared" si="31"/>
        <v>28.22</v>
      </c>
      <c r="H61">
        <f>H60+8</f>
        <v>28.46833333333333</v>
      </c>
      <c r="I61">
        <f t="shared" ref="I61:J61" si="32">I60+8</f>
        <v>32.688333333333333</v>
      </c>
      <c r="J61">
        <f t="shared" si="32"/>
        <v>38.126666666666665</v>
      </c>
      <c r="K61">
        <f t="shared" ref="K61:L61" si="33">K60+8</f>
        <v>41.265000000000001</v>
      </c>
      <c r="L61">
        <f t="shared" si="33"/>
        <v>43.076666666666661</v>
      </c>
    </row>
    <row r="62" spans="2:12" x14ac:dyDescent="0.5">
      <c r="C62">
        <f>_xlfn.STDEV.P(C52:C58)</f>
        <v>0.83782787943321424</v>
      </c>
      <c r="D62">
        <f t="shared" ref="D62:L62" si="34">_xlfn.STDEV.P(D52:D58)</f>
        <v>0.34586445643087071</v>
      </c>
      <c r="E62">
        <f t="shared" si="34"/>
        <v>0.40912168795549797</v>
      </c>
      <c r="F62">
        <f t="shared" si="34"/>
        <v>0.26308532625155845</v>
      </c>
      <c r="G62">
        <f t="shared" si="34"/>
        <v>0.31390019645316131</v>
      </c>
      <c r="H62">
        <f t="shared" si="34"/>
        <v>0.17487296976821642</v>
      </c>
      <c r="I62">
        <f t="shared" si="34"/>
        <v>0.10761298971571999</v>
      </c>
      <c r="J62">
        <f t="shared" si="34"/>
        <v>0.74497576396074039</v>
      </c>
      <c r="K62">
        <f t="shared" si="34"/>
        <v>0.6461875372779432</v>
      </c>
      <c r="L62">
        <f t="shared" si="34"/>
        <v>1.0848604620974185</v>
      </c>
    </row>
    <row r="64" spans="2:12" x14ac:dyDescent="0.5">
      <c r="B64" s="5" t="s">
        <v>7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x14ac:dyDescent="0.5">
      <c r="B65" t="s">
        <v>1</v>
      </c>
      <c r="C65">
        <v>74</v>
      </c>
      <c r="D65">
        <v>69</v>
      </c>
      <c r="E65">
        <v>62</v>
      </c>
      <c r="F65">
        <v>57</v>
      </c>
      <c r="G65">
        <v>53</v>
      </c>
      <c r="H65">
        <v>50</v>
      </c>
      <c r="I65">
        <v>47</v>
      </c>
      <c r="J65">
        <v>45</v>
      </c>
      <c r="K65">
        <v>43</v>
      </c>
      <c r="L65">
        <v>41</v>
      </c>
    </row>
    <row r="66" spans="2:12" x14ac:dyDescent="0.5">
      <c r="B66" t="s">
        <v>2</v>
      </c>
      <c r="C66">
        <v>73</v>
      </c>
      <c r="D66">
        <v>120</v>
      </c>
      <c r="E66">
        <v>164</v>
      </c>
      <c r="F66">
        <v>256</v>
      </c>
      <c r="G66">
        <v>353</v>
      </c>
      <c r="H66">
        <v>427</v>
      </c>
      <c r="I66">
        <v>522</v>
      </c>
      <c r="J66">
        <v>586</v>
      </c>
      <c r="K66">
        <v>638</v>
      </c>
      <c r="L66">
        <v>705</v>
      </c>
    </row>
    <row r="67" spans="2:12" x14ac:dyDescent="0.5">
      <c r="B67" t="s">
        <v>3</v>
      </c>
      <c r="C67">
        <v>3</v>
      </c>
      <c r="D67">
        <v>4</v>
      </c>
      <c r="E67">
        <v>6</v>
      </c>
      <c r="F67">
        <v>8</v>
      </c>
      <c r="G67">
        <v>10</v>
      </c>
      <c r="H67">
        <v>12</v>
      </c>
      <c r="I67">
        <v>14</v>
      </c>
      <c r="J67">
        <v>16</v>
      </c>
      <c r="K67">
        <v>18</v>
      </c>
      <c r="L67">
        <v>20</v>
      </c>
    </row>
    <row r="68" spans="2:12" x14ac:dyDescent="0.5">
      <c r="C68">
        <v>18.03</v>
      </c>
      <c r="D68">
        <v>24.89</v>
      </c>
      <c r="E68">
        <v>29.34</v>
      </c>
      <c r="F68">
        <v>29.5</v>
      </c>
      <c r="G68">
        <v>28.3</v>
      </c>
      <c r="H68">
        <v>19.09</v>
      </c>
      <c r="I68">
        <v>24.69</v>
      </c>
      <c r="J68">
        <v>30.54</v>
      </c>
      <c r="K68">
        <v>33.950000000000003</v>
      </c>
      <c r="L68">
        <v>35.79</v>
      </c>
    </row>
    <row r="69" spans="2:12" x14ac:dyDescent="0.5">
      <c r="C69">
        <v>16.5</v>
      </c>
      <c r="D69">
        <v>24.43</v>
      </c>
      <c r="E69">
        <v>28.44</v>
      </c>
      <c r="F69">
        <v>28.11</v>
      </c>
      <c r="G69">
        <v>28.02</v>
      </c>
      <c r="H69">
        <v>18.059999999999999</v>
      </c>
      <c r="I69">
        <v>23.74</v>
      </c>
      <c r="J69">
        <v>29.78</v>
      </c>
      <c r="K69">
        <v>32.96</v>
      </c>
      <c r="L69">
        <v>34.94</v>
      </c>
    </row>
    <row r="70" spans="2:12" x14ac:dyDescent="0.5">
      <c r="C70">
        <v>16.59</v>
      </c>
      <c r="D70">
        <v>24.99</v>
      </c>
      <c r="E70">
        <v>27.97</v>
      </c>
      <c r="F70">
        <v>28.73</v>
      </c>
      <c r="G70">
        <v>27.81</v>
      </c>
      <c r="H70">
        <v>19.190000000000001</v>
      </c>
      <c r="I70">
        <v>23.09</v>
      </c>
      <c r="J70">
        <v>29.39</v>
      </c>
      <c r="K70">
        <v>33.659999999999997</v>
      </c>
      <c r="L70">
        <v>34.78</v>
      </c>
    </row>
    <row r="71" spans="2:12" x14ac:dyDescent="0.5">
      <c r="C71">
        <v>16.72</v>
      </c>
      <c r="D71">
        <v>24.61</v>
      </c>
      <c r="E71">
        <v>27.89</v>
      </c>
      <c r="F71">
        <v>27.78</v>
      </c>
      <c r="G71">
        <v>27.02</v>
      </c>
      <c r="H71">
        <v>19.43</v>
      </c>
      <c r="I71">
        <v>24.09</v>
      </c>
      <c r="J71">
        <v>29.97</v>
      </c>
      <c r="K71">
        <v>33.369999999999997</v>
      </c>
      <c r="L71">
        <v>34.93</v>
      </c>
    </row>
    <row r="72" spans="2:12" x14ac:dyDescent="0.5">
      <c r="C72">
        <v>16.22</v>
      </c>
      <c r="D72">
        <v>25.23</v>
      </c>
      <c r="E72">
        <v>28.18</v>
      </c>
      <c r="F72">
        <v>28.59</v>
      </c>
      <c r="G72">
        <v>27.33</v>
      </c>
      <c r="H72">
        <v>19.48</v>
      </c>
      <c r="I72">
        <v>22.86</v>
      </c>
      <c r="J72">
        <v>28.98</v>
      </c>
      <c r="K72">
        <v>32.85</v>
      </c>
      <c r="L72">
        <v>33.86</v>
      </c>
    </row>
    <row r="73" spans="2:12" x14ac:dyDescent="0.5">
      <c r="C73">
        <v>16.309999999999999</v>
      </c>
      <c r="D73">
        <v>24.29</v>
      </c>
      <c r="E73">
        <v>27.99</v>
      </c>
      <c r="F73">
        <v>27.93</v>
      </c>
      <c r="G73">
        <v>27.33</v>
      </c>
      <c r="H73">
        <v>19.29</v>
      </c>
      <c r="I73">
        <v>22.81</v>
      </c>
      <c r="J73">
        <v>29.86</v>
      </c>
      <c r="K73">
        <v>33.43</v>
      </c>
      <c r="L73">
        <v>34.69</v>
      </c>
    </row>
    <row r="75" spans="2:12" x14ac:dyDescent="0.5">
      <c r="C75">
        <f>AVERAGE(C68:C73)</f>
        <v>16.728333333333335</v>
      </c>
      <c r="D75">
        <f t="shared" ref="D75:L75" si="35">AVERAGE(D68:D73)</f>
        <v>24.74</v>
      </c>
      <c r="E75">
        <f t="shared" si="35"/>
        <v>28.301666666666666</v>
      </c>
      <c r="F75">
        <f t="shared" si="35"/>
        <v>28.44</v>
      </c>
      <c r="G75">
        <f t="shared" si="35"/>
        <v>27.635000000000002</v>
      </c>
      <c r="H75">
        <f t="shared" si="35"/>
        <v>19.090000000000003</v>
      </c>
      <c r="I75">
        <f t="shared" si="35"/>
        <v>23.546666666666667</v>
      </c>
      <c r="J75">
        <f t="shared" si="35"/>
        <v>29.75333333333333</v>
      </c>
      <c r="K75">
        <f t="shared" si="35"/>
        <v>33.369999999999997</v>
      </c>
      <c r="L75">
        <f t="shared" si="35"/>
        <v>34.831666666666671</v>
      </c>
    </row>
    <row r="76" spans="2:12" x14ac:dyDescent="0.5">
      <c r="C76">
        <f>C75</f>
        <v>16.728333333333335</v>
      </c>
      <c r="D76">
        <f t="shared" ref="D76:G76" si="36">D75</f>
        <v>24.74</v>
      </c>
      <c r="E76">
        <f t="shared" si="36"/>
        <v>28.301666666666666</v>
      </c>
      <c r="F76">
        <f t="shared" si="36"/>
        <v>28.44</v>
      </c>
      <c r="G76">
        <f t="shared" si="36"/>
        <v>27.635000000000002</v>
      </c>
      <c r="H76">
        <f>H75+8</f>
        <v>27.090000000000003</v>
      </c>
      <c r="I76">
        <f t="shared" ref="I76:L76" si="37">I75+8</f>
        <v>31.546666666666667</v>
      </c>
      <c r="J76">
        <f t="shared" si="37"/>
        <v>37.75333333333333</v>
      </c>
      <c r="K76">
        <f t="shared" si="37"/>
        <v>41.37</v>
      </c>
      <c r="L76">
        <f t="shared" si="37"/>
        <v>42.831666666666671</v>
      </c>
    </row>
    <row r="77" spans="2:12" x14ac:dyDescent="0.5">
      <c r="C77">
        <f>_xlfn.STDEV.P(C68:C73)</f>
        <v>0.60540390557782975</v>
      </c>
      <c r="D77">
        <f t="shared" ref="D77:L77" si="38">_xlfn.STDEV.P(D68:D73)</f>
        <v>0.32675168961562667</v>
      </c>
      <c r="E77">
        <f t="shared" si="38"/>
        <v>0.49811031799079319</v>
      </c>
      <c r="F77">
        <f t="shared" si="38"/>
        <v>0.582351554761669</v>
      </c>
      <c r="G77">
        <f t="shared" si="38"/>
        <v>0.44447534614794298</v>
      </c>
      <c r="H77">
        <f t="shared" si="38"/>
        <v>0.47933982378545092</v>
      </c>
      <c r="I77">
        <f t="shared" si="38"/>
        <v>0.6907162144389617</v>
      </c>
      <c r="J77">
        <f t="shared" si="38"/>
        <v>0.48441258814728905</v>
      </c>
      <c r="K77">
        <f t="shared" si="38"/>
        <v>0.37916575091464488</v>
      </c>
      <c r="L77">
        <f t="shared" si="38"/>
        <v>0.56372028130585783</v>
      </c>
    </row>
  </sheetData>
  <mergeCells count="5">
    <mergeCell ref="B1:L1"/>
    <mergeCell ref="B18:L18"/>
    <mergeCell ref="B33:L33"/>
    <mergeCell ref="B48:L48"/>
    <mergeCell ref="B64:L6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9DCD-7251-4133-A836-009F6961BFF0}">
  <dimension ref="B1:AK108"/>
  <sheetViews>
    <sheetView topLeftCell="I1" zoomScale="85" zoomScaleNormal="85" workbookViewId="0">
      <selection activeCell="P19" sqref="P19:Y23"/>
    </sheetView>
  </sheetViews>
  <sheetFormatPr defaultRowHeight="14.35" x14ac:dyDescent="0.5"/>
  <sheetData>
    <row r="1" spans="2:37" x14ac:dyDescent="0.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37" x14ac:dyDescent="0.5">
      <c r="B2" t="s">
        <v>1</v>
      </c>
      <c r="C2">
        <v>74</v>
      </c>
      <c r="D2">
        <v>69</v>
      </c>
      <c r="E2">
        <v>62</v>
      </c>
      <c r="F2">
        <v>57</v>
      </c>
      <c r="G2">
        <v>53</v>
      </c>
      <c r="H2">
        <v>50</v>
      </c>
      <c r="I2">
        <v>47</v>
      </c>
      <c r="J2">
        <v>45</v>
      </c>
      <c r="K2">
        <v>43</v>
      </c>
      <c r="L2">
        <v>41</v>
      </c>
    </row>
    <row r="3" spans="2:37" x14ac:dyDescent="0.5">
      <c r="B3" t="s">
        <v>2</v>
      </c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>
        <v>73</v>
      </c>
      <c r="Q3">
        <v>120</v>
      </c>
      <c r="R3">
        <v>164</v>
      </c>
      <c r="S3">
        <v>256</v>
      </c>
      <c r="T3">
        <v>353</v>
      </c>
      <c r="U3">
        <v>427</v>
      </c>
      <c r="V3">
        <v>522</v>
      </c>
      <c r="W3">
        <v>586</v>
      </c>
      <c r="X3">
        <v>638</v>
      </c>
      <c r="Y3">
        <v>705</v>
      </c>
      <c r="AB3">
        <v>73</v>
      </c>
      <c r="AC3">
        <v>120</v>
      </c>
      <c r="AD3">
        <v>164</v>
      </c>
      <c r="AE3">
        <v>256</v>
      </c>
      <c r="AF3">
        <v>353</v>
      </c>
      <c r="AG3">
        <v>427</v>
      </c>
      <c r="AH3">
        <v>522</v>
      </c>
      <c r="AI3">
        <v>586</v>
      </c>
      <c r="AJ3">
        <v>638</v>
      </c>
      <c r="AK3">
        <v>705</v>
      </c>
    </row>
    <row r="4" spans="2:37" x14ac:dyDescent="0.5">
      <c r="B4" t="s">
        <v>3</v>
      </c>
      <c r="C4">
        <v>3</v>
      </c>
      <c r="D4">
        <v>4</v>
      </c>
      <c r="E4">
        <v>6</v>
      </c>
      <c r="F4">
        <v>8</v>
      </c>
      <c r="G4">
        <v>10</v>
      </c>
      <c r="H4">
        <v>12</v>
      </c>
      <c r="I4">
        <v>14</v>
      </c>
      <c r="J4">
        <v>16</v>
      </c>
      <c r="K4">
        <v>18</v>
      </c>
      <c r="L4">
        <v>20</v>
      </c>
      <c r="O4" t="s">
        <v>8</v>
      </c>
      <c r="P4">
        <f>C21</f>
        <v>2.9857142857142862</v>
      </c>
      <c r="Q4">
        <f t="shared" ref="Q4:Y4" si="0">D21</f>
        <v>12.395454545454545</v>
      </c>
      <c r="R4">
        <f t="shared" si="0"/>
        <v>19.733333333333334</v>
      </c>
      <c r="S4">
        <f t="shared" si="0"/>
        <v>20.229166666666664</v>
      </c>
      <c r="T4">
        <f t="shared" si="0"/>
        <v>21.803636363636365</v>
      </c>
      <c r="U4">
        <f t="shared" si="0"/>
        <v>25.865833333333335</v>
      </c>
      <c r="V4">
        <f t="shared" si="0"/>
        <v>34.598333333333329</v>
      </c>
      <c r="W4">
        <f t="shared" si="0"/>
        <v>38.933333333333337</v>
      </c>
      <c r="X4">
        <f t="shared" si="0"/>
        <v>42.618333333333332</v>
      </c>
      <c r="Y4">
        <f t="shared" si="0"/>
        <v>44.42818181818182</v>
      </c>
      <c r="AA4" t="s">
        <v>8</v>
      </c>
      <c r="AB4">
        <f>P4+3</f>
        <v>5.9857142857142858</v>
      </c>
      <c r="AC4">
        <f t="shared" ref="AC4:AK8" si="1">Q4+3</f>
        <v>15.395454545454545</v>
      </c>
      <c r="AD4">
        <f t="shared" si="1"/>
        <v>22.733333333333334</v>
      </c>
      <c r="AE4">
        <f t="shared" si="1"/>
        <v>23.229166666666664</v>
      </c>
      <c r="AF4">
        <f t="shared" si="1"/>
        <v>24.803636363636365</v>
      </c>
      <c r="AG4">
        <f t="shared" si="1"/>
        <v>28.865833333333335</v>
      </c>
      <c r="AH4">
        <f t="shared" si="1"/>
        <v>37.598333333333329</v>
      </c>
      <c r="AI4">
        <f t="shared" si="1"/>
        <v>41.933333333333337</v>
      </c>
      <c r="AJ4">
        <f t="shared" si="1"/>
        <v>45.618333333333332</v>
      </c>
      <c r="AK4">
        <f t="shared" si="1"/>
        <v>47.42818181818182</v>
      </c>
    </row>
    <row r="5" spans="2:37" x14ac:dyDescent="0.5">
      <c r="C5">
        <v>3.88</v>
      </c>
      <c r="D5">
        <v>12.97</v>
      </c>
      <c r="E5">
        <v>18.64</v>
      </c>
      <c r="F5">
        <v>20</v>
      </c>
      <c r="G5">
        <v>21.86</v>
      </c>
      <c r="H5">
        <v>19.420000000000002</v>
      </c>
      <c r="I5">
        <v>28.21</v>
      </c>
      <c r="J5">
        <v>33.58</v>
      </c>
      <c r="K5">
        <v>36.200000000000003</v>
      </c>
      <c r="L5">
        <v>38.200000000000003</v>
      </c>
      <c r="O5" t="s">
        <v>9</v>
      </c>
      <c r="P5">
        <f>C43</f>
        <v>3.9291666666666658</v>
      </c>
      <c r="Q5">
        <f t="shared" ref="Q5:Y5" si="2">D43</f>
        <v>14.229230769230769</v>
      </c>
      <c r="R5">
        <f t="shared" si="2"/>
        <v>21.148181818181822</v>
      </c>
      <c r="S5">
        <f t="shared" si="2"/>
        <v>21.848181818181818</v>
      </c>
      <c r="T5">
        <f t="shared" si="2"/>
        <v>22.823333333333334</v>
      </c>
      <c r="U5">
        <f t="shared" si="2"/>
        <v>26.26166666666667</v>
      </c>
      <c r="V5">
        <f t="shared" si="2"/>
        <v>34.518181818181816</v>
      </c>
      <c r="W5">
        <f t="shared" si="2"/>
        <v>39.789090909090916</v>
      </c>
      <c r="X5">
        <f t="shared" si="2"/>
        <v>43.284545454545452</v>
      </c>
      <c r="Y5">
        <f t="shared" si="2"/>
        <v>45.1175</v>
      </c>
      <c r="AA5" t="s">
        <v>9</v>
      </c>
      <c r="AB5">
        <f t="shared" ref="AB5:AB8" si="3">P5+3</f>
        <v>6.9291666666666654</v>
      </c>
      <c r="AC5">
        <f t="shared" si="1"/>
        <v>17.229230769230767</v>
      </c>
      <c r="AD5">
        <f t="shared" si="1"/>
        <v>24.148181818181822</v>
      </c>
      <c r="AE5">
        <f t="shared" si="1"/>
        <v>24.848181818181818</v>
      </c>
      <c r="AF5">
        <f t="shared" si="1"/>
        <v>25.823333333333334</v>
      </c>
      <c r="AG5">
        <f t="shared" si="1"/>
        <v>29.26166666666667</v>
      </c>
      <c r="AH5">
        <f t="shared" si="1"/>
        <v>37.518181818181816</v>
      </c>
      <c r="AI5">
        <f t="shared" si="1"/>
        <v>42.789090909090916</v>
      </c>
      <c r="AJ5">
        <f t="shared" si="1"/>
        <v>46.284545454545452</v>
      </c>
      <c r="AK5">
        <f t="shared" si="1"/>
        <v>48.1175</v>
      </c>
    </row>
    <row r="6" spans="2:37" x14ac:dyDescent="0.5">
      <c r="C6">
        <v>2.74</v>
      </c>
      <c r="D6">
        <v>11.56</v>
      </c>
      <c r="E6">
        <v>17.38</v>
      </c>
      <c r="F6">
        <v>19.53</v>
      </c>
      <c r="G6">
        <v>21.71</v>
      </c>
      <c r="H6">
        <v>17.54</v>
      </c>
      <c r="I6">
        <v>26.63</v>
      </c>
      <c r="J6">
        <v>29.47</v>
      </c>
      <c r="K6">
        <v>34.72</v>
      </c>
      <c r="L6">
        <v>36.01</v>
      </c>
      <c r="O6" t="s">
        <v>10</v>
      </c>
      <c r="P6">
        <f>C65</f>
        <v>14.591666666666669</v>
      </c>
      <c r="Q6">
        <f t="shared" ref="Q6:Y6" si="4">D65</f>
        <v>26.460000000000004</v>
      </c>
      <c r="R6">
        <f t="shared" si="4"/>
        <v>29.980769230769226</v>
      </c>
      <c r="S6">
        <f t="shared" si="4"/>
        <v>29.83583333333333</v>
      </c>
      <c r="T6">
        <f t="shared" si="4"/>
        <v>29.82416666666667</v>
      </c>
      <c r="U6">
        <f t="shared" si="4"/>
        <v>30.768181818181816</v>
      </c>
      <c r="V6">
        <f t="shared" si="4"/>
        <v>35.790000000000006</v>
      </c>
      <c r="W6">
        <f t="shared" si="4"/>
        <v>40.676666666666669</v>
      </c>
      <c r="X6">
        <f t="shared" si="4"/>
        <v>43.68</v>
      </c>
      <c r="Y6">
        <f t="shared" si="4"/>
        <v>45.454545454545453</v>
      </c>
      <c r="AA6" t="s">
        <v>10</v>
      </c>
      <c r="AB6">
        <f t="shared" si="3"/>
        <v>17.591666666666669</v>
      </c>
      <c r="AC6">
        <f t="shared" si="1"/>
        <v>29.460000000000004</v>
      </c>
      <c r="AD6">
        <f t="shared" si="1"/>
        <v>32.980769230769226</v>
      </c>
      <c r="AE6">
        <f t="shared" si="1"/>
        <v>32.835833333333326</v>
      </c>
      <c r="AF6">
        <f t="shared" si="1"/>
        <v>32.82416666666667</v>
      </c>
      <c r="AG6">
        <f t="shared" si="1"/>
        <v>33.768181818181816</v>
      </c>
      <c r="AH6">
        <f t="shared" si="1"/>
        <v>38.790000000000006</v>
      </c>
      <c r="AI6">
        <f t="shared" si="1"/>
        <v>43.676666666666669</v>
      </c>
      <c r="AJ6">
        <f t="shared" si="1"/>
        <v>46.68</v>
      </c>
      <c r="AK6">
        <f t="shared" si="1"/>
        <v>48.454545454545453</v>
      </c>
    </row>
    <row r="7" spans="2:37" x14ac:dyDescent="0.5">
      <c r="C7">
        <v>2.29</v>
      </c>
      <c r="D7">
        <v>10.4</v>
      </c>
      <c r="E7">
        <v>19.170000000000002</v>
      </c>
      <c r="F7">
        <v>19.600000000000001</v>
      </c>
      <c r="G7">
        <v>21.7</v>
      </c>
      <c r="H7">
        <v>17.38</v>
      </c>
      <c r="I7">
        <v>26.3</v>
      </c>
      <c r="J7">
        <v>31.53</v>
      </c>
      <c r="K7">
        <v>34.729999999999997</v>
      </c>
      <c r="L7">
        <v>37.090000000000003</v>
      </c>
      <c r="O7" t="s">
        <v>11</v>
      </c>
      <c r="P7">
        <f>C86</f>
        <v>21.271666666666665</v>
      </c>
      <c r="Q7">
        <f t="shared" ref="Q7:Y7" si="5">D86</f>
        <v>28.729999999999997</v>
      </c>
      <c r="R7">
        <f t="shared" si="5"/>
        <v>32.261666666666663</v>
      </c>
      <c r="S7">
        <f t="shared" si="5"/>
        <v>31.83909090909091</v>
      </c>
      <c r="T7">
        <f t="shared" si="5"/>
        <v>31.33</v>
      </c>
      <c r="U7">
        <f t="shared" si="5"/>
        <v>31.650000000000002</v>
      </c>
      <c r="V7">
        <f t="shared" si="5"/>
        <v>36.117272727272734</v>
      </c>
      <c r="W7">
        <f t="shared" si="5"/>
        <v>41.397500000000001</v>
      </c>
      <c r="X7">
        <f t="shared" si="5"/>
        <v>44.340909090909093</v>
      </c>
      <c r="Y7">
        <f t="shared" si="5"/>
        <v>46.492500000000007</v>
      </c>
      <c r="AA7" t="s">
        <v>11</v>
      </c>
      <c r="AB7">
        <f t="shared" si="3"/>
        <v>24.271666666666665</v>
      </c>
      <c r="AC7">
        <f t="shared" si="1"/>
        <v>31.729999999999997</v>
      </c>
      <c r="AD7">
        <f t="shared" si="1"/>
        <v>35.261666666666663</v>
      </c>
      <c r="AE7">
        <f t="shared" si="1"/>
        <v>34.839090909090913</v>
      </c>
      <c r="AF7">
        <f t="shared" si="1"/>
        <v>34.33</v>
      </c>
      <c r="AG7">
        <f t="shared" si="1"/>
        <v>34.650000000000006</v>
      </c>
      <c r="AH7">
        <f t="shared" si="1"/>
        <v>39.117272727272734</v>
      </c>
      <c r="AI7">
        <f t="shared" si="1"/>
        <v>44.397500000000001</v>
      </c>
      <c r="AJ7">
        <f t="shared" si="1"/>
        <v>47.340909090909093</v>
      </c>
      <c r="AK7">
        <f t="shared" si="1"/>
        <v>49.492500000000007</v>
      </c>
    </row>
    <row r="8" spans="2:37" x14ac:dyDescent="0.5">
      <c r="C8">
        <v>2.35</v>
      </c>
      <c r="D8">
        <v>11.45</v>
      </c>
      <c r="E8">
        <v>18.38</v>
      </c>
      <c r="F8">
        <v>19.61</v>
      </c>
      <c r="G8">
        <v>22.25</v>
      </c>
      <c r="H8">
        <v>17.45</v>
      </c>
      <c r="I8">
        <v>27.08</v>
      </c>
      <c r="J8">
        <v>30.4</v>
      </c>
      <c r="K8">
        <v>35.549999999999997</v>
      </c>
      <c r="L8">
        <v>36.6</v>
      </c>
      <c r="O8" t="s">
        <v>12</v>
      </c>
      <c r="P8">
        <f>C107</f>
        <v>21.366363636363641</v>
      </c>
      <c r="Q8">
        <f t="shared" ref="Q8:Y8" si="6">D107</f>
        <v>28.440833333333334</v>
      </c>
      <c r="R8">
        <f t="shared" si="6"/>
        <v>32.195</v>
      </c>
      <c r="S8">
        <f t="shared" si="6"/>
        <v>31.768181818181816</v>
      </c>
      <c r="T8">
        <f t="shared" si="6"/>
        <v>30.961666666666662</v>
      </c>
      <c r="U8">
        <f t="shared" si="6"/>
        <v>31.174999999999997</v>
      </c>
      <c r="V8">
        <f t="shared" si="6"/>
        <v>35.935000000000002</v>
      </c>
      <c r="W8">
        <f t="shared" si="6"/>
        <v>41.576666666666675</v>
      </c>
      <c r="X8">
        <f t="shared" si="6"/>
        <v>45.207500000000003</v>
      </c>
      <c r="Y8">
        <f t="shared" si="6"/>
        <v>47.060833333333335</v>
      </c>
      <c r="AA8" t="s">
        <v>12</v>
      </c>
      <c r="AB8">
        <f t="shared" si="3"/>
        <v>24.366363636363641</v>
      </c>
      <c r="AC8">
        <f t="shared" si="1"/>
        <v>31.440833333333334</v>
      </c>
      <c r="AD8">
        <f t="shared" si="1"/>
        <v>35.195</v>
      </c>
      <c r="AE8">
        <f t="shared" si="1"/>
        <v>34.768181818181816</v>
      </c>
      <c r="AF8">
        <f t="shared" si="1"/>
        <v>33.961666666666659</v>
      </c>
      <c r="AG8">
        <f t="shared" si="1"/>
        <v>34.174999999999997</v>
      </c>
      <c r="AH8">
        <f t="shared" si="1"/>
        <v>38.935000000000002</v>
      </c>
      <c r="AI8">
        <f t="shared" si="1"/>
        <v>44.576666666666675</v>
      </c>
      <c r="AJ8">
        <f t="shared" si="1"/>
        <v>48.207500000000003</v>
      </c>
      <c r="AK8">
        <f t="shared" si="1"/>
        <v>50.060833333333335</v>
      </c>
    </row>
    <row r="9" spans="2:37" x14ac:dyDescent="0.5">
      <c r="C9">
        <v>2.99</v>
      </c>
      <c r="D9">
        <v>11.27</v>
      </c>
      <c r="E9">
        <v>19.059999999999999</v>
      </c>
      <c r="F9">
        <v>19.62</v>
      </c>
      <c r="G9">
        <v>22.23</v>
      </c>
      <c r="H9">
        <v>17.809999999999999</v>
      </c>
      <c r="I9">
        <v>25.78</v>
      </c>
      <c r="J9">
        <v>29.9</v>
      </c>
      <c r="K9">
        <v>35.659999999999997</v>
      </c>
      <c r="L9">
        <v>36.76</v>
      </c>
    </row>
    <row r="10" spans="2:37" x14ac:dyDescent="0.5">
      <c r="C10">
        <v>2.82</v>
      </c>
      <c r="D10">
        <v>13.8</v>
      </c>
      <c r="E10">
        <v>19.34</v>
      </c>
      <c r="F10">
        <v>20.100000000000001</v>
      </c>
      <c r="G10">
        <v>22.09</v>
      </c>
      <c r="H10">
        <v>18.28</v>
      </c>
      <c r="I10">
        <v>26.61</v>
      </c>
      <c r="J10">
        <v>32.770000000000003</v>
      </c>
      <c r="K10">
        <v>35.57</v>
      </c>
      <c r="L10">
        <v>36.79</v>
      </c>
      <c r="AB10">
        <v>73</v>
      </c>
      <c r="AC10">
        <v>120</v>
      </c>
      <c r="AD10">
        <v>164</v>
      </c>
      <c r="AE10">
        <v>256</v>
      </c>
      <c r="AF10">
        <v>353</v>
      </c>
      <c r="AG10">
        <v>427</v>
      </c>
      <c r="AH10">
        <v>522</v>
      </c>
      <c r="AI10">
        <v>586</v>
      </c>
      <c r="AJ10">
        <v>638</v>
      </c>
      <c r="AK10">
        <v>705</v>
      </c>
    </row>
    <row r="11" spans="2:37" x14ac:dyDescent="0.5">
      <c r="C11">
        <v>2.56</v>
      </c>
      <c r="D11">
        <v>12.81</v>
      </c>
      <c r="E11">
        <v>20.41</v>
      </c>
      <c r="F11">
        <v>21.17</v>
      </c>
      <c r="G11">
        <v>21.46</v>
      </c>
      <c r="H11">
        <v>18.190000000000001</v>
      </c>
      <c r="I11">
        <v>27.58</v>
      </c>
      <c r="J11">
        <v>30.8</v>
      </c>
      <c r="K11">
        <v>33.53</v>
      </c>
      <c r="L11">
        <v>36.520000000000003</v>
      </c>
      <c r="AA11" t="s">
        <v>8</v>
      </c>
      <c r="AB11">
        <f>C22</f>
        <v>0.6104999623928169</v>
      </c>
      <c r="AC11">
        <f t="shared" ref="AC11:AK11" si="7">D22</f>
        <v>1.0052893173461301</v>
      </c>
      <c r="AD11">
        <f t="shared" si="7"/>
        <v>1.2507819776266194</v>
      </c>
      <c r="AE11">
        <f t="shared" si="7"/>
        <v>0.54193262701393274</v>
      </c>
      <c r="AF11">
        <f t="shared" si="7"/>
        <v>0.28052783777834778</v>
      </c>
      <c r="AG11">
        <f t="shared" si="7"/>
        <v>0.72986823392232192</v>
      </c>
      <c r="AH11">
        <f t="shared" si="7"/>
        <v>0.69532766057129869</v>
      </c>
      <c r="AI11">
        <f t="shared" si="7"/>
        <v>1.2057938832523947</v>
      </c>
      <c r="AJ11">
        <f t="shared" si="7"/>
        <v>0.90390664463882664</v>
      </c>
      <c r="AK11">
        <f t="shared" si="7"/>
        <v>0.79511940992096286</v>
      </c>
    </row>
    <row r="12" spans="2:37" x14ac:dyDescent="0.5">
      <c r="C12">
        <v>2.58</v>
      </c>
      <c r="D12">
        <v>13</v>
      </c>
      <c r="E12">
        <v>19.68</v>
      </c>
      <c r="F12">
        <v>20.6</v>
      </c>
      <c r="G12">
        <v>21.44</v>
      </c>
      <c r="H12">
        <v>16.71</v>
      </c>
      <c r="I12">
        <v>26.41</v>
      </c>
      <c r="J12">
        <v>30.65</v>
      </c>
      <c r="K12">
        <v>33.54</v>
      </c>
      <c r="L12">
        <v>36.17</v>
      </c>
      <c r="AA12" t="s">
        <v>9</v>
      </c>
      <c r="AB12">
        <f>C44</f>
        <v>0.78173373912662525</v>
      </c>
      <c r="AC12">
        <f t="shared" ref="AC12:AK12" si="8">D44</f>
        <v>0.63684875077285552</v>
      </c>
      <c r="AD12">
        <f t="shared" si="8"/>
        <v>1.3571482010706948</v>
      </c>
      <c r="AE12">
        <f t="shared" si="8"/>
        <v>1.1574644560167491</v>
      </c>
      <c r="AF12">
        <f t="shared" si="8"/>
        <v>1.2993288866009085</v>
      </c>
      <c r="AG12">
        <f t="shared" si="8"/>
        <v>0.76507987963494539</v>
      </c>
      <c r="AH12">
        <f t="shared" si="8"/>
        <v>0.63291272099452545</v>
      </c>
      <c r="AI12">
        <f t="shared" si="8"/>
        <v>0.74910194166632948</v>
      </c>
      <c r="AJ12">
        <f t="shared" si="8"/>
        <v>0.62291636147112861</v>
      </c>
      <c r="AK12">
        <f t="shared" si="8"/>
        <v>0.59079219414838868</v>
      </c>
    </row>
    <row r="13" spans="2:37" x14ac:dyDescent="0.5">
      <c r="C13">
        <v>4.6900000000000004</v>
      </c>
      <c r="D13">
        <v>12.98</v>
      </c>
      <c r="E13">
        <v>21.17</v>
      </c>
      <c r="F13">
        <v>20.57</v>
      </c>
      <c r="G13">
        <v>21.72</v>
      </c>
      <c r="H13">
        <v>17.3</v>
      </c>
      <c r="I13">
        <v>26.6</v>
      </c>
      <c r="J13">
        <v>29.26</v>
      </c>
      <c r="K13">
        <v>34.520000000000003</v>
      </c>
      <c r="L13">
        <v>35.01</v>
      </c>
      <c r="AA13" t="s">
        <v>10</v>
      </c>
      <c r="AB13">
        <f>C66</f>
        <v>1.2914903105413613</v>
      </c>
      <c r="AC13">
        <f t="shared" ref="AC13:AK13" si="9">D66</f>
        <v>0.53563046963368244</v>
      </c>
      <c r="AD13">
        <f t="shared" si="9"/>
        <v>0.44196173761400742</v>
      </c>
      <c r="AE13">
        <f t="shared" si="9"/>
        <v>0.89486924867391771</v>
      </c>
      <c r="AF13">
        <f t="shared" si="9"/>
        <v>0.58315890249189883</v>
      </c>
      <c r="AG13">
        <f t="shared" si="9"/>
        <v>0.55041832325833129</v>
      </c>
      <c r="AH13">
        <f t="shared" si="9"/>
        <v>0.64192891138562014</v>
      </c>
      <c r="AI13">
        <f t="shared" si="9"/>
        <v>0.74408034213756413</v>
      </c>
      <c r="AJ13">
        <f t="shared" si="9"/>
        <v>1.3004404848148399</v>
      </c>
      <c r="AK13">
        <f t="shared" si="9"/>
        <v>1.5969537116099495</v>
      </c>
    </row>
    <row r="14" spans="2:37" x14ac:dyDescent="0.5">
      <c r="C14">
        <v>3.01</v>
      </c>
      <c r="D14">
        <v>12.72</v>
      </c>
      <c r="E14">
        <v>20.68</v>
      </c>
      <c r="F14">
        <v>20.38</v>
      </c>
      <c r="G14">
        <v>21.91</v>
      </c>
      <c r="H14">
        <v>17.16</v>
      </c>
      <c r="I14">
        <v>25.75</v>
      </c>
      <c r="J14">
        <v>30.59</v>
      </c>
      <c r="K14">
        <v>33.869999999999997</v>
      </c>
      <c r="L14">
        <v>35.83</v>
      </c>
      <c r="AA14" t="s">
        <v>11</v>
      </c>
      <c r="AB14">
        <f>C87</f>
        <v>1.1653528316446577</v>
      </c>
      <c r="AC14">
        <f t="shared" ref="AC14:AK14" si="10">D87</f>
        <v>0.76659815240628337</v>
      </c>
      <c r="AD14">
        <f t="shared" si="10"/>
        <v>1.0200966729787047</v>
      </c>
      <c r="AE14">
        <f t="shared" si="10"/>
        <v>0.86552616204831301</v>
      </c>
      <c r="AF14">
        <f t="shared" si="10"/>
        <v>1.0822283408866085</v>
      </c>
      <c r="AG14">
        <f t="shared" si="10"/>
        <v>0.86987982451078238</v>
      </c>
      <c r="AH14">
        <f t="shared" si="10"/>
        <v>0.6636276462690216</v>
      </c>
      <c r="AI14">
        <f t="shared" si="10"/>
        <v>1.1165656048795343</v>
      </c>
      <c r="AJ14">
        <f t="shared" si="10"/>
        <v>1.2791862082480017</v>
      </c>
      <c r="AK14">
        <f t="shared" si="10"/>
        <v>1.0097287176926946</v>
      </c>
    </row>
    <row r="15" spans="2:37" x14ac:dyDescent="0.5">
      <c r="C15">
        <v>2.62</v>
      </c>
      <c r="D15">
        <v>13.39</v>
      </c>
      <c r="E15">
        <v>21.41</v>
      </c>
      <c r="F15">
        <v>20.92</v>
      </c>
      <c r="G15">
        <v>21.47</v>
      </c>
      <c r="H15">
        <v>18.68</v>
      </c>
      <c r="I15">
        <v>26</v>
      </c>
      <c r="J15">
        <v>31.38</v>
      </c>
      <c r="K15">
        <v>33.61</v>
      </c>
      <c r="L15">
        <v>35.729999999999997</v>
      </c>
      <c r="AA15" t="s">
        <v>12</v>
      </c>
      <c r="AB15">
        <f>C108</f>
        <v>0.38957489015762126</v>
      </c>
      <c r="AC15">
        <f t="shared" ref="AC15:AK15" si="11">D108</f>
        <v>0.32770561823414396</v>
      </c>
      <c r="AD15">
        <f t="shared" si="11"/>
        <v>0.45050897142380397</v>
      </c>
      <c r="AE15">
        <f t="shared" si="11"/>
        <v>0.36408835545580576</v>
      </c>
      <c r="AF15">
        <f t="shared" si="11"/>
        <v>0.37456270799723546</v>
      </c>
      <c r="AG15">
        <f t="shared" si="11"/>
        <v>0.44381865666057851</v>
      </c>
      <c r="AH15">
        <f t="shared" si="11"/>
        <v>0.35940923749953912</v>
      </c>
      <c r="AI15">
        <f t="shared" si="11"/>
        <v>0.49743229578394704</v>
      </c>
      <c r="AJ15">
        <f t="shared" si="11"/>
        <v>0.4087200549683529</v>
      </c>
      <c r="AK15">
        <f t="shared" si="11"/>
        <v>0.73325141587922538</v>
      </c>
    </row>
    <row r="16" spans="2:37" x14ac:dyDescent="0.5">
      <c r="C16">
        <v>3.21</v>
      </c>
      <c r="E16">
        <v>21.48</v>
      </c>
      <c r="F16">
        <v>20.65</v>
      </c>
      <c r="H16">
        <v>18.47</v>
      </c>
      <c r="I16">
        <v>26.23</v>
      </c>
      <c r="J16">
        <v>30.87</v>
      </c>
      <c r="K16">
        <v>33.92</v>
      </c>
    </row>
    <row r="17" spans="2:25" x14ac:dyDescent="0.5">
      <c r="C17">
        <v>2.99</v>
      </c>
    </row>
    <row r="18" spans="2:25" x14ac:dyDescent="0.5">
      <c r="C18">
        <v>3.07</v>
      </c>
    </row>
    <row r="19" spans="2:25" x14ac:dyDescent="0.5">
      <c r="O19" t="s">
        <v>8</v>
      </c>
      <c r="P19">
        <f>P4-$P$4</f>
        <v>0</v>
      </c>
      <c r="Q19">
        <f>Q4-$Q$4</f>
        <v>0</v>
      </c>
      <c r="R19">
        <f>R4-$R$4</f>
        <v>0</v>
      </c>
      <c r="S19">
        <f>S4-$S$4</f>
        <v>0</v>
      </c>
      <c r="T19">
        <f>T4-$T$4</f>
        <v>0</v>
      </c>
      <c r="U19">
        <f>U4-$U$4</f>
        <v>0</v>
      </c>
      <c r="V19">
        <f>V4-$V$4</f>
        <v>0</v>
      </c>
      <c r="W19">
        <f>W4-$W$4</f>
        <v>0</v>
      </c>
      <c r="X19">
        <f>X4-$X$4</f>
        <v>0</v>
      </c>
      <c r="Y19">
        <f>Y4-$Y$4</f>
        <v>0</v>
      </c>
    </row>
    <row r="20" spans="2:25" x14ac:dyDescent="0.5">
      <c r="C20">
        <f t="shared" ref="C20:L20" si="12">AVERAGE(C5:C18)</f>
        <v>2.9857142857142862</v>
      </c>
      <c r="D20">
        <f t="shared" si="12"/>
        <v>12.395454545454545</v>
      </c>
      <c r="E20">
        <f t="shared" si="12"/>
        <v>19.733333333333334</v>
      </c>
      <c r="F20">
        <f t="shared" si="12"/>
        <v>20.229166666666664</v>
      </c>
      <c r="G20">
        <f t="shared" si="12"/>
        <v>21.803636363636365</v>
      </c>
      <c r="H20">
        <f t="shared" si="12"/>
        <v>17.865833333333335</v>
      </c>
      <c r="I20">
        <f t="shared" si="12"/>
        <v>26.598333333333333</v>
      </c>
      <c r="J20">
        <f t="shared" si="12"/>
        <v>30.933333333333334</v>
      </c>
      <c r="K20">
        <f t="shared" si="12"/>
        <v>34.618333333333332</v>
      </c>
      <c r="L20">
        <f t="shared" si="12"/>
        <v>36.42818181818182</v>
      </c>
      <c r="O20" t="s">
        <v>9</v>
      </c>
      <c r="P20">
        <f>P5-$P$4</f>
        <v>0.9434523809523796</v>
      </c>
      <c r="Q20">
        <f>Q5-$Q$4</f>
        <v>1.8337762237762245</v>
      </c>
      <c r="R20">
        <f>R5-$R$4</f>
        <v>1.4148484848484877</v>
      </c>
      <c r="S20">
        <f>S5-$S$4</f>
        <v>1.6190151515151534</v>
      </c>
      <c r="T20">
        <f>T5-$T$4</f>
        <v>1.0196969696969695</v>
      </c>
      <c r="U20">
        <f>U5-$U$4</f>
        <v>0.3958333333333357</v>
      </c>
      <c r="V20">
        <f>V5-$V$4</f>
        <v>-8.0151515151513308E-2</v>
      </c>
      <c r="W20">
        <f>W5-$W$4</f>
        <v>0.85575757575757905</v>
      </c>
      <c r="X20">
        <f>X5-$X$4</f>
        <v>0.66621212121211926</v>
      </c>
      <c r="Y20">
        <f>Y5-$Y$4</f>
        <v>0.68931818181818016</v>
      </c>
    </row>
    <row r="21" spans="2:25" x14ac:dyDescent="0.5">
      <c r="C21">
        <f>C20</f>
        <v>2.9857142857142862</v>
      </c>
      <c r="D21">
        <f t="shared" ref="D21:G21" si="13">D20</f>
        <v>12.395454545454545</v>
      </c>
      <c r="E21">
        <f t="shared" si="13"/>
        <v>19.733333333333334</v>
      </c>
      <c r="F21">
        <f t="shared" si="13"/>
        <v>20.229166666666664</v>
      </c>
      <c r="G21">
        <f t="shared" si="13"/>
        <v>21.803636363636365</v>
      </c>
      <c r="H21">
        <f>H20+8</f>
        <v>25.865833333333335</v>
      </c>
      <c r="I21">
        <f t="shared" ref="I21:L21" si="14">I20+8</f>
        <v>34.598333333333329</v>
      </c>
      <c r="J21">
        <f t="shared" si="14"/>
        <v>38.933333333333337</v>
      </c>
      <c r="K21">
        <f t="shared" si="14"/>
        <v>42.618333333333332</v>
      </c>
      <c r="L21">
        <f t="shared" si="14"/>
        <v>44.42818181818182</v>
      </c>
      <c r="O21" t="s">
        <v>10</v>
      </c>
      <c r="P21">
        <f>P6-$P$4</f>
        <v>11.605952380952383</v>
      </c>
      <c r="Q21">
        <f>Q6-$Q$4</f>
        <v>14.06454545454546</v>
      </c>
      <c r="R21">
        <f>R6-$R$4</f>
        <v>10.247435897435892</v>
      </c>
      <c r="S21">
        <f>S6-$S$4</f>
        <v>9.6066666666666656</v>
      </c>
      <c r="T21">
        <f>T6-$T$4</f>
        <v>8.0205303030303057</v>
      </c>
      <c r="U21">
        <f>U6-$U$4</f>
        <v>4.9023484848484813</v>
      </c>
      <c r="V21">
        <f>V6-$V$4</f>
        <v>1.1916666666666771</v>
      </c>
      <c r="W21">
        <f>W6-$W$4</f>
        <v>1.7433333333333323</v>
      </c>
      <c r="X21">
        <f>X6-$X$4</f>
        <v>1.0616666666666674</v>
      </c>
      <c r="Y21">
        <f>Y6-$Y$4</f>
        <v>1.0263636363636337</v>
      </c>
    </row>
    <row r="22" spans="2:25" x14ac:dyDescent="0.5">
      <c r="C22">
        <f t="shared" ref="C22:L22" si="15">_xlfn.STDEV.P(C5:C18)</f>
        <v>0.6104999623928169</v>
      </c>
      <c r="D22">
        <f t="shared" si="15"/>
        <v>1.0052893173461301</v>
      </c>
      <c r="E22">
        <f t="shared" si="15"/>
        <v>1.2507819776266194</v>
      </c>
      <c r="F22">
        <f t="shared" si="15"/>
        <v>0.54193262701393274</v>
      </c>
      <c r="G22">
        <f t="shared" si="15"/>
        <v>0.28052783777834778</v>
      </c>
      <c r="H22">
        <f t="shared" si="15"/>
        <v>0.72986823392232192</v>
      </c>
      <c r="I22">
        <f t="shared" si="15"/>
        <v>0.69532766057129869</v>
      </c>
      <c r="J22">
        <f t="shared" si="15"/>
        <v>1.2057938832523947</v>
      </c>
      <c r="K22">
        <f t="shared" si="15"/>
        <v>0.90390664463882664</v>
      </c>
      <c r="L22">
        <f t="shared" si="15"/>
        <v>0.79511940992096286</v>
      </c>
      <c r="O22" t="s">
        <v>11</v>
      </c>
      <c r="P22">
        <f>P7-$P$4</f>
        <v>18.285952380952377</v>
      </c>
      <c r="Q22">
        <f>Q7-$Q$4</f>
        <v>16.334545454545452</v>
      </c>
      <c r="R22">
        <f>R7-$R$4</f>
        <v>12.528333333333329</v>
      </c>
      <c r="S22">
        <f>S7-$S$4</f>
        <v>11.609924242424245</v>
      </c>
      <c r="T22">
        <f>T7-$T$4</f>
        <v>9.5263636363636337</v>
      </c>
      <c r="U22">
        <f>U7-$U$4</f>
        <v>5.7841666666666676</v>
      </c>
      <c r="V22">
        <f>V7-$V$4</f>
        <v>1.5189393939394051</v>
      </c>
      <c r="W22">
        <f>W7-$W$4</f>
        <v>2.4641666666666637</v>
      </c>
      <c r="X22">
        <f>X7-$X$4</f>
        <v>1.7225757575757612</v>
      </c>
      <c r="Y22">
        <f>Y7-$Y$4</f>
        <v>2.0643181818181873</v>
      </c>
    </row>
    <row r="23" spans="2:25" x14ac:dyDescent="0.5">
      <c r="O23" t="s">
        <v>12</v>
      </c>
      <c r="P23">
        <f>P8-$P$4</f>
        <v>18.380649350649353</v>
      </c>
      <c r="Q23">
        <f>Q8-$Q$4</f>
        <v>16.045378787878789</v>
      </c>
      <c r="R23">
        <f>R8-$R$4</f>
        <v>12.461666666666666</v>
      </c>
      <c r="S23">
        <f>S8-$S$4</f>
        <v>11.539015151515152</v>
      </c>
      <c r="T23">
        <f>T8-$T$4</f>
        <v>9.1580303030302979</v>
      </c>
      <c r="U23">
        <f>U8-$U$4</f>
        <v>5.3091666666666626</v>
      </c>
      <c r="V23">
        <f>V8-$V$4</f>
        <v>1.3366666666666731</v>
      </c>
      <c r="W23">
        <f>W8-$W$4</f>
        <v>2.643333333333338</v>
      </c>
      <c r="X23">
        <f>X8-$X$4</f>
        <v>2.5891666666666708</v>
      </c>
      <c r="Y23">
        <f>Y8-$Y$4</f>
        <v>2.6326515151515153</v>
      </c>
    </row>
    <row r="24" spans="2:25" x14ac:dyDescent="0.5">
      <c r="B24" s="5" t="s">
        <v>4</v>
      </c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2:25" x14ac:dyDescent="0.5">
      <c r="B25" t="s">
        <v>1</v>
      </c>
      <c r="C25">
        <v>74</v>
      </c>
      <c r="D25">
        <v>69</v>
      </c>
      <c r="E25">
        <v>62</v>
      </c>
      <c r="F25">
        <v>57</v>
      </c>
      <c r="G25">
        <v>53</v>
      </c>
      <c r="H25">
        <v>50</v>
      </c>
      <c r="I25">
        <v>47</v>
      </c>
      <c r="J25">
        <v>45</v>
      </c>
      <c r="K25">
        <v>43</v>
      </c>
      <c r="L25">
        <v>41</v>
      </c>
    </row>
    <row r="26" spans="2:25" x14ac:dyDescent="0.5">
      <c r="B26" t="s">
        <v>2</v>
      </c>
      <c r="C26">
        <v>73</v>
      </c>
      <c r="D26">
        <v>120</v>
      </c>
      <c r="E26">
        <v>164</v>
      </c>
      <c r="F26">
        <v>256</v>
      </c>
      <c r="G26">
        <v>353</v>
      </c>
      <c r="H26">
        <v>427</v>
      </c>
      <c r="I26">
        <v>522</v>
      </c>
      <c r="J26">
        <v>586</v>
      </c>
      <c r="K26">
        <v>638</v>
      </c>
      <c r="L26">
        <v>705</v>
      </c>
    </row>
    <row r="27" spans="2:25" x14ac:dyDescent="0.5">
      <c r="B27" t="s">
        <v>3</v>
      </c>
      <c r="C27">
        <v>3</v>
      </c>
      <c r="D27">
        <v>4</v>
      </c>
      <c r="E27">
        <v>6</v>
      </c>
      <c r="F27">
        <v>8</v>
      </c>
      <c r="G27">
        <v>10</v>
      </c>
      <c r="H27">
        <v>12</v>
      </c>
      <c r="I27">
        <v>14</v>
      </c>
      <c r="J27">
        <v>16</v>
      </c>
      <c r="K27">
        <v>18</v>
      </c>
      <c r="L27">
        <v>20</v>
      </c>
      <c r="O27">
        <v>0</v>
      </c>
    </row>
    <row r="28" spans="2:25" x14ac:dyDescent="0.5">
      <c r="C28">
        <v>5.27</v>
      </c>
      <c r="D28">
        <v>14.6</v>
      </c>
      <c r="E28">
        <v>20.41</v>
      </c>
      <c r="F28">
        <v>20.93</v>
      </c>
      <c r="G28">
        <v>22.47</v>
      </c>
      <c r="H28">
        <v>18.920000000000002</v>
      </c>
      <c r="I28">
        <v>27.7</v>
      </c>
      <c r="J28">
        <v>32.200000000000003</v>
      </c>
      <c r="K28">
        <v>35.04</v>
      </c>
      <c r="L28">
        <v>36.729999999999997</v>
      </c>
      <c r="O28">
        <v>20</v>
      </c>
    </row>
    <row r="29" spans="2:25" x14ac:dyDescent="0.5">
      <c r="C29">
        <v>2.64</v>
      </c>
      <c r="D29">
        <v>13.6</v>
      </c>
      <c r="E29">
        <v>19.77</v>
      </c>
      <c r="F29">
        <v>20.64</v>
      </c>
      <c r="G29">
        <v>21.46</v>
      </c>
      <c r="H29">
        <v>17.72</v>
      </c>
      <c r="I29">
        <v>26.31</v>
      </c>
      <c r="J29">
        <v>31.48</v>
      </c>
      <c r="K29">
        <v>35.18</v>
      </c>
      <c r="L29">
        <v>36.799999999999997</v>
      </c>
      <c r="O29">
        <v>40</v>
      </c>
    </row>
    <row r="30" spans="2:25" x14ac:dyDescent="0.5">
      <c r="C30">
        <v>4.3499999999999996</v>
      </c>
      <c r="D30">
        <v>13.68</v>
      </c>
      <c r="E30">
        <v>19.96</v>
      </c>
      <c r="F30">
        <v>20.86</v>
      </c>
      <c r="G30">
        <v>21.36</v>
      </c>
      <c r="H30">
        <v>17.11</v>
      </c>
      <c r="I30">
        <v>26.07</v>
      </c>
      <c r="J30">
        <v>30.54</v>
      </c>
      <c r="K30">
        <v>34.71</v>
      </c>
      <c r="L30">
        <v>36.28</v>
      </c>
      <c r="O30">
        <v>60</v>
      </c>
    </row>
    <row r="31" spans="2:25" x14ac:dyDescent="0.5">
      <c r="C31">
        <v>3.09</v>
      </c>
      <c r="D31">
        <v>13.72</v>
      </c>
      <c r="E31">
        <v>19.739999999999998</v>
      </c>
      <c r="F31">
        <v>20.96</v>
      </c>
      <c r="G31">
        <v>21.43</v>
      </c>
      <c r="H31">
        <v>17.53</v>
      </c>
      <c r="I31">
        <v>27.14</v>
      </c>
      <c r="J31">
        <v>30.76</v>
      </c>
      <c r="K31">
        <v>35.32</v>
      </c>
      <c r="L31">
        <v>37.049999999999997</v>
      </c>
      <c r="O31">
        <v>80</v>
      </c>
    </row>
    <row r="32" spans="2:25" x14ac:dyDescent="0.5">
      <c r="C32">
        <v>3.59</v>
      </c>
      <c r="D32">
        <v>14.27</v>
      </c>
      <c r="E32">
        <v>19.73</v>
      </c>
      <c r="F32">
        <v>20.91</v>
      </c>
      <c r="G32">
        <v>21.28</v>
      </c>
      <c r="H32">
        <v>18.309999999999999</v>
      </c>
      <c r="I32">
        <v>25.71</v>
      </c>
      <c r="J32">
        <v>31.39</v>
      </c>
      <c r="K32">
        <v>34.619999999999997</v>
      </c>
      <c r="L32">
        <v>35.92</v>
      </c>
    </row>
    <row r="33" spans="2:12" x14ac:dyDescent="0.5">
      <c r="C33">
        <v>3.48</v>
      </c>
      <c r="D33">
        <v>14.32</v>
      </c>
      <c r="E33">
        <v>20.56</v>
      </c>
      <c r="F33">
        <v>20.61</v>
      </c>
      <c r="G33">
        <v>21.48</v>
      </c>
      <c r="H33">
        <v>16.93</v>
      </c>
      <c r="I33">
        <v>26.84</v>
      </c>
      <c r="J33">
        <v>31.75</v>
      </c>
      <c r="K33">
        <v>34.69</v>
      </c>
      <c r="L33">
        <v>36.979999999999997</v>
      </c>
    </row>
    <row r="34" spans="2:12" x14ac:dyDescent="0.5">
      <c r="D34">
        <v>13.74</v>
      </c>
    </row>
    <row r="35" spans="2:12" x14ac:dyDescent="0.5">
      <c r="C35">
        <v>5.47</v>
      </c>
      <c r="D35">
        <v>15.93</v>
      </c>
      <c r="E35">
        <v>23.94</v>
      </c>
      <c r="F35">
        <v>23.72</v>
      </c>
      <c r="G35">
        <v>24.67</v>
      </c>
      <c r="H35">
        <v>19.55</v>
      </c>
      <c r="I35">
        <v>27.2</v>
      </c>
      <c r="J35">
        <v>32.590000000000003</v>
      </c>
      <c r="K35">
        <v>36.47</v>
      </c>
      <c r="L35">
        <v>37.86</v>
      </c>
    </row>
    <row r="36" spans="2:12" x14ac:dyDescent="0.5">
      <c r="C36">
        <v>3.77</v>
      </c>
      <c r="D36">
        <v>14.65</v>
      </c>
      <c r="E36">
        <v>22.16</v>
      </c>
      <c r="F36">
        <v>22.94</v>
      </c>
      <c r="G36">
        <v>24.42</v>
      </c>
      <c r="H36">
        <v>18.38</v>
      </c>
      <c r="I36">
        <v>25.5</v>
      </c>
      <c r="J36">
        <v>32.58</v>
      </c>
      <c r="K36">
        <v>34.97</v>
      </c>
      <c r="L36">
        <v>37.450000000000003</v>
      </c>
    </row>
    <row r="37" spans="2:12" x14ac:dyDescent="0.5">
      <c r="C37">
        <v>3.65</v>
      </c>
      <c r="D37">
        <v>14.25</v>
      </c>
      <c r="E37">
        <v>22.64</v>
      </c>
      <c r="F37">
        <v>23.01</v>
      </c>
      <c r="G37">
        <v>23.88</v>
      </c>
      <c r="H37">
        <v>18.239999999999998</v>
      </c>
      <c r="I37">
        <v>26.63</v>
      </c>
      <c r="J37">
        <v>31.42</v>
      </c>
      <c r="K37">
        <v>35.01</v>
      </c>
      <c r="L37">
        <v>37.880000000000003</v>
      </c>
    </row>
    <row r="38" spans="2:12" x14ac:dyDescent="0.5">
      <c r="C38">
        <v>3.7</v>
      </c>
      <c r="D38">
        <v>14.64</v>
      </c>
      <c r="E38">
        <v>21.92</v>
      </c>
      <c r="F38">
        <v>23.1</v>
      </c>
      <c r="G38">
        <v>23.89</v>
      </c>
      <c r="H38">
        <v>18.8</v>
      </c>
      <c r="I38">
        <v>26.22</v>
      </c>
      <c r="J38">
        <v>31.87</v>
      </c>
      <c r="K38">
        <v>35.68</v>
      </c>
      <c r="L38">
        <v>37.590000000000003</v>
      </c>
    </row>
    <row r="39" spans="2:12" x14ac:dyDescent="0.5">
      <c r="C39">
        <v>3.84</v>
      </c>
      <c r="D39">
        <v>14.18</v>
      </c>
      <c r="E39">
        <v>21.8</v>
      </c>
      <c r="F39">
        <v>22.65</v>
      </c>
      <c r="G39">
        <v>23.78</v>
      </c>
      <c r="H39">
        <v>18.649999999999999</v>
      </c>
      <c r="I39">
        <v>26.38</v>
      </c>
      <c r="J39">
        <v>33.1</v>
      </c>
      <c r="K39">
        <v>36.44</v>
      </c>
      <c r="L39">
        <v>37.67</v>
      </c>
    </row>
    <row r="40" spans="2:12" x14ac:dyDescent="0.5">
      <c r="C40">
        <v>4.3</v>
      </c>
      <c r="D40">
        <v>13.4</v>
      </c>
      <c r="G40">
        <v>23.76</v>
      </c>
      <c r="H40">
        <v>19</v>
      </c>
      <c r="L40">
        <v>37.200000000000003</v>
      </c>
    </row>
    <row r="42" spans="2:12" x14ac:dyDescent="0.5">
      <c r="C42">
        <f>AVERAGE(C28:C40)</f>
        <v>3.9291666666666658</v>
      </c>
      <c r="D42">
        <f t="shared" ref="D42:L42" si="16">AVERAGE(D28:D40)</f>
        <v>14.229230769230769</v>
      </c>
      <c r="E42">
        <f t="shared" si="16"/>
        <v>21.148181818181822</v>
      </c>
      <c r="F42">
        <f t="shared" si="16"/>
        <v>21.848181818181818</v>
      </c>
      <c r="G42">
        <f t="shared" si="16"/>
        <v>22.823333333333334</v>
      </c>
      <c r="H42">
        <f t="shared" si="16"/>
        <v>18.26166666666667</v>
      </c>
      <c r="I42">
        <f t="shared" si="16"/>
        <v>26.518181818181816</v>
      </c>
      <c r="J42">
        <f t="shared" si="16"/>
        <v>31.789090909090916</v>
      </c>
      <c r="K42">
        <f t="shared" si="16"/>
        <v>35.284545454545452</v>
      </c>
      <c r="L42">
        <f t="shared" si="16"/>
        <v>37.1175</v>
      </c>
    </row>
    <row r="43" spans="2:12" x14ac:dyDescent="0.5">
      <c r="C43">
        <f>C42</f>
        <v>3.9291666666666658</v>
      </c>
      <c r="D43">
        <f t="shared" ref="D43:G43" si="17">D42</f>
        <v>14.229230769230769</v>
      </c>
      <c r="E43">
        <f t="shared" si="17"/>
        <v>21.148181818181822</v>
      </c>
      <c r="F43">
        <f t="shared" si="17"/>
        <v>21.848181818181818</v>
      </c>
      <c r="G43">
        <f t="shared" si="17"/>
        <v>22.823333333333334</v>
      </c>
      <c r="H43">
        <f>H42+8</f>
        <v>26.26166666666667</v>
      </c>
      <c r="I43">
        <f t="shared" ref="I43:L43" si="18">I42+8</f>
        <v>34.518181818181816</v>
      </c>
      <c r="J43">
        <f t="shared" si="18"/>
        <v>39.789090909090916</v>
      </c>
      <c r="K43">
        <f t="shared" si="18"/>
        <v>43.284545454545452</v>
      </c>
      <c r="L43">
        <f t="shared" si="18"/>
        <v>45.1175</v>
      </c>
    </row>
    <row r="44" spans="2:12" x14ac:dyDescent="0.5">
      <c r="C44">
        <f>_xlfn.STDEV.P(C28:C40)</f>
        <v>0.78173373912662525</v>
      </c>
      <c r="D44">
        <f t="shared" ref="D44:L44" si="19">_xlfn.STDEV.P(D28:D40)</f>
        <v>0.63684875077285552</v>
      </c>
      <c r="E44">
        <f t="shared" si="19"/>
        <v>1.3571482010706948</v>
      </c>
      <c r="F44">
        <f t="shared" si="19"/>
        <v>1.1574644560167491</v>
      </c>
      <c r="G44">
        <f t="shared" si="19"/>
        <v>1.2993288866009085</v>
      </c>
      <c r="H44">
        <f t="shared" si="19"/>
        <v>0.76507987963494539</v>
      </c>
      <c r="I44">
        <f t="shared" si="19"/>
        <v>0.63291272099452545</v>
      </c>
      <c r="J44">
        <f t="shared" si="19"/>
        <v>0.74910194166632948</v>
      </c>
      <c r="K44">
        <f t="shared" si="19"/>
        <v>0.62291636147112861</v>
      </c>
      <c r="L44">
        <f t="shared" si="19"/>
        <v>0.59079219414838868</v>
      </c>
    </row>
    <row r="46" spans="2:12" x14ac:dyDescent="0.5">
      <c r="B46" s="5" t="s">
        <v>5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 x14ac:dyDescent="0.5">
      <c r="B47" t="s">
        <v>1</v>
      </c>
      <c r="C47">
        <v>74</v>
      </c>
      <c r="D47">
        <v>69</v>
      </c>
      <c r="E47">
        <v>62</v>
      </c>
      <c r="F47">
        <v>57</v>
      </c>
      <c r="G47">
        <v>53</v>
      </c>
      <c r="H47">
        <v>50</v>
      </c>
      <c r="I47">
        <v>47</v>
      </c>
      <c r="J47">
        <v>45</v>
      </c>
      <c r="K47">
        <v>43</v>
      </c>
      <c r="L47">
        <v>41</v>
      </c>
    </row>
    <row r="48" spans="2:12" x14ac:dyDescent="0.5">
      <c r="B48" t="s">
        <v>2</v>
      </c>
      <c r="C48">
        <v>73</v>
      </c>
      <c r="D48">
        <v>120</v>
      </c>
      <c r="E48">
        <v>164</v>
      </c>
      <c r="F48">
        <v>256</v>
      </c>
      <c r="G48">
        <v>353</v>
      </c>
      <c r="H48">
        <v>427</v>
      </c>
      <c r="I48">
        <v>522</v>
      </c>
      <c r="J48">
        <v>586</v>
      </c>
      <c r="K48">
        <v>638</v>
      </c>
      <c r="L48">
        <v>705</v>
      </c>
    </row>
    <row r="49" spans="2:12" x14ac:dyDescent="0.5">
      <c r="B49" t="s">
        <v>3</v>
      </c>
      <c r="C49">
        <v>3</v>
      </c>
      <c r="D49">
        <v>4</v>
      </c>
      <c r="E49">
        <v>6</v>
      </c>
      <c r="F49">
        <v>8</v>
      </c>
      <c r="G49">
        <v>10</v>
      </c>
      <c r="H49">
        <v>12</v>
      </c>
      <c r="I49">
        <v>14</v>
      </c>
      <c r="J49">
        <v>16</v>
      </c>
      <c r="K49">
        <v>18</v>
      </c>
      <c r="L49">
        <v>20</v>
      </c>
    </row>
    <row r="50" spans="2:12" x14ac:dyDescent="0.5">
      <c r="C50">
        <v>13.55</v>
      </c>
      <c r="D50">
        <v>26.07</v>
      </c>
      <c r="E50">
        <v>29.77</v>
      </c>
      <c r="F50">
        <v>29.12</v>
      </c>
      <c r="G50">
        <v>29.45</v>
      </c>
      <c r="H50">
        <v>22.65</v>
      </c>
      <c r="I50">
        <v>27.89</v>
      </c>
      <c r="J50">
        <v>32.49</v>
      </c>
      <c r="K50">
        <v>35.340000000000003</v>
      </c>
      <c r="L50">
        <v>37.08</v>
      </c>
    </row>
    <row r="51" spans="2:12" x14ac:dyDescent="0.5">
      <c r="C51">
        <v>12.36</v>
      </c>
      <c r="D51">
        <v>25.67</v>
      </c>
      <c r="E51">
        <v>29.5</v>
      </c>
      <c r="F51">
        <v>28.89</v>
      </c>
      <c r="G51">
        <v>29.53</v>
      </c>
      <c r="H51">
        <v>22.49</v>
      </c>
      <c r="I51">
        <v>27.4</v>
      </c>
      <c r="J51">
        <v>31.48</v>
      </c>
      <c r="K51">
        <v>34.58</v>
      </c>
      <c r="L51">
        <v>35.58</v>
      </c>
    </row>
    <row r="52" spans="2:12" x14ac:dyDescent="0.5">
      <c r="C52">
        <v>13.79</v>
      </c>
      <c r="D52">
        <v>25.69</v>
      </c>
      <c r="E52">
        <v>29.42</v>
      </c>
      <c r="F52">
        <v>28.67</v>
      </c>
      <c r="G52">
        <v>29.03</v>
      </c>
      <c r="H52">
        <v>21.9</v>
      </c>
      <c r="I52">
        <v>27.18</v>
      </c>
      <c r="J52">
        <v>32.17</v>
      </c>
      <c r="K52">
        <v>34.159999999999997</v>
      </c>
      <c r="L52">
        <v>35.75</v>
      </c>
    </row>
    <row r="53" spans="2:12" x14ac:dyDescent="0.5">
      <c r="C53">
        <v>13.67</v>
      </c>
      <c r="D53">
        <v>26.61</v>
      </c>
      <c r="E53">
        <v>29.46</v>
      </c>
      <c r="F53">
        <v>28.84</v>
      </c>
      <c r="G53">
        <v>29.15</v>
      </c>
      <c r="H53">
        <v>22.64</v>
      </c>
      <c r="I53">
        <v>27.22</v>
      </c>
      <c r="J53">
        <v>31.49</v>
      </c>
      <c r="K53">
        <v>33.869999999999997</v>
      </c>
      <c r="L53">
        <v>35.799999999999997</v>
      </c>
    </row>
    <row r="54" spans="2:12" x14ac:dyDescent="0.5">
      <c r="C54">
        <v>13.62</v>
      </c>
      <c r="D54">
        <v>26.03</v>
      </c>
      <c r="E54">
        <v>29.57</v>
      </c>
      <c r="F54">
        <v>29.2</v>
      </c>
      <c r="G54">
        <v>29.25</v>
      </c>
      <c r="H54">
        <v>22.2</v>
      </c>
      <c r="I54">
        <v>26.69</v>
      </c>
      <c r="J54">
        <v>32.520000000000003</v>
      </c>
      <c r="K54">
        <v>34.75</v>
      </c>
      <c r="L54">
        <v>36.6</v>
      </c>
    </row>
    <row r="55" spans="2:12" x14ac:dyDescent="0.5">
      <c r="C55">
        <v>13.27</v>
      </c>
      <c r="D55">
        <v>26.33</v>
      </c>
      <c r="E55">
        <v>29.63</v>
      </c>
      <c r="F55">
        <v>28.98</v>
      </c>
      <c r="G55">
        <v>29.51</v>
      </c>
      <c r="H55">
        <v>22.32</v>
      </c>
      <c r="I55">
        <v>27.27</v>
      </c>
      <c r="J55">
        <v>31.91</v>
      </c>
      <c r="K55">
        <v>34.6</v>
      </c>
      <c r="L55">
        <v>35.520000000000003</v>
      </c>
    </row>
    <row r="56" spans="2:12" x14ac:dyDescent="0.5">
      <c r="C56">
        <v>15.6</v>
      </c>
      <c r="D56">
        <v>26.34</v>
      </c>
      <c r="E56">
        <v>30.63</v>
      </c>
      <c r="F56">
        <v>30.74</v>
      </c>
      <c r="G56">
        <v>30.29</v>
      </c>
      <c r="H56">
        <v>23.77</v>
      </c>
      <c r="I56">
        <v>28.06</v>
      </c>
      <c r="J56">
        <v>33.22</v>
      </c>
      <c r="K56">
        <v>37.61</v>
      </c>
      <c r="L56">
        <v>39.03</v>
      </c>
    </row>
    <row r="57" spans="2:12" x14ac:dyDescent="0.5">
      <c r="C57">
        <v>16.059999999999999</v>
      </c>
      <c r="D57">
        <v>26.39</v>
      </c>
      <c r="E57">
        <v>30.47</v>
      </c>
      <c r="F57">
        <v>30.67</v>
      </c>
      <c r="G57">
        <v>29.74</v>
      </c>
      <c r="H57">
        <v>22.86</v>
      </c>
      <c r="I57">
        <v>28.55</v>
      </c>
      <c r="J57">
        <v>33.4</v>
      </c>
      <c r="K57">
        <v>37.049999999999997</v>
      </c>
      <c r="L57">
        <v>38.96</v>
      </c>
    </row>
    <row r="58" spans="2:12" x14ac:dyDescent="0.5">
      <c r="C58">
        <v>15.61</v>
      </c>
      <c r="D58">
        <v>26.86</v>
      </c>
      <c r="E58">
        <v>30.67</v>
      </c>
      <c r="F58">
        <v>30.71</v>
      </c>
      <c r="G58">
        <v>30.05</v>
      </c>
      <c r="H58">
        <v>22.84</v>
      </c>
      <c r="I58">
        <v>28.43</v>
      </c>
      <c r="J58">
        <v>33.020000000000003</v>
      </c>
      <c r="K58">
        <v>36.82</v>
      </c>
      <c r="L58">
        <v>39.270000000000003</v>
      </c>
    </row>
    <row r="59" spans="2:12" x14ac:dyDescent="0.5">
      <c r="C59">
        <v>16.47</v>
      </c>
      <c r="D59">
        <v>27.47</v>
      </c>
      <c r="E59">
        <v>30.46</v>
      </c>
      <c r="F59">
        <v>30.71</v>
      </c>
      <c r="G59">
        <v>30.67</v>
      </c>
      <c r="H59">
        <v>23.11</v>
      </c>
      <c r="I59">
        <v>28.75</v>
      </c>
      <c r="J59">
        <v>33.32</v>
      </c>
      <c r="K59">
        <v>36.75</v>
      </c>
      <c r="L59">
        <v>39.44</v>
      </c>
    </row>
    <row r="60" spans="2:12" x14ac:dyDescent="0.5">
      <c r="C60">
        <v>15.24</v>
      </c>
      <c r="D60">
        <v>27.04</v>
      </c>
      <c r="E60">
        <v>30.07</v>
      </c>
      <c r="F60">
        <v>30.72</v>
      </c>
      <c r="G60">
        <v>30.37</v>
      </c>
      <c r="H60">
        <v>23.67</v>
      </c>
      <c r="I60">
        <v>28.25</v>
      </c>
      <c r="J60">
        <v>33.44</v>
      </c>
      <c r="K60">
        <v>36.950000000000003</v>
      </c>
      <c r="L60">
        <v>38.97</v>
      </c>
    </row>
    <row r="61" spans="2:12" x14ac:dyDescent="0.5">
      <c r="C61">
        <v>15.86</v>
      </c>
      <c r="D61">
        <v>27.02</v>
      </c>
      <c r="E61">
        <v>30.01</v>
      </c>
      <c r="F61">
        <v>30.78</v>
      </c>
      <c r="G61">
        <v>30.85</v>
      </c>
      <c r="J61">
        <v>33.659999999999997</v>
      </c>
    </row>
    <row r="62" spans="2:12" x14ac:dyDescent="0.5">
      <c r="E62">
        <v>30.09</v>
      </c>
    </row>
    <row r="64" spans="2:12" x14ac:dyDescent="0.5">
      <c r="C64">
        <f>AVERAGE(C50:C62)</f>
        <v>14.591666666666669</v>
      </c>
      <c r="D64">
        <f t="shared" ref="D64:L64" si="20">AVERAGE(D50:D62)</f>
        <v>26.460000000000004</v>
      </c>
      <c r="E64">
        <f t="shared" si="20"/>
        <v>29.980769230769226</v>
      </c>
      <c r="F64">
        <f t="shared" si="20"/>
        <v>29.83583333333333</v>
      </c>
      <c r="G64">
        <f t="shared" si="20"/>
        <v>29.82416666666667</v>
      </c>
      <c r="H64">
        <f t="shared" si="20"/>
        <v>22.768181818181816</v>
      </c>
      <c r="I64">
        <f t="shared" si="20"/>
        <v>27.790000000000006</v>
      </c>
      <c r="J64">
        <f t="shared" si="20"/>
        <v>32.676666666666669</v>
      </c>
      <c r="K64">
        <f t="shared" si="20"/>
        <v>35.68</v>
      </c>
      <c r="L64">
        <f t="shared" si="20"/>
        <v>37.454545454545453</v>
      </c>
    </row>
    <row r="65" spans="2:12" x14ac:dyDescent="0.5">
      <c r="C65">
        <f>C64</f>
        <v>14.591666666666669</v>
      </c>
      <c r="D65">
        <f t="shared" ref="D65:G65" si="21">D64</f>
        <v>26.460000000000004</v>
      </c>
      <c r="E65">
        <f t="shared" si="21"/>
        <v>29.980769230769226</v>
      </c>
      <c r="F65">
        <f t="shared" si="21"/>
        <v>29.83583333333333</v>
      </c>
      <c r="G65">
        <f t="shared" si="21"/>
        <v>29.82416666666667</v>
      </c>
      <c r="H65">
        <f>H64+8</f>
        <v>30.768181818181816</v>
      </c>
      <c r="I65">
        <f t="shared" ref="I65:L65" si="22">I64+8</f>
        <v>35.790000000000006</v>
      </c>
      <c r="J65">
        <f t="shared" si="22"/>
        <v>40.676666666666669</v>
      </c>
      <c r="K65">
        <f t="shared" si="22"/>
        <v>43.68</v>
      </c>
      <c r="L65">
        <f t="shared" si="22"/>
        <v>45.454545454545453</v>
      </c>
    </row>
    <row r="66" spans="2:12" x14ac:dyDescent="0.5">
      <c r="C66">
        <f>_xlfn.STDEV.P(C50:C62)</f>
        <v>1.2914903105413613</v>
      </c>
      <c r="D66">
        <f t="shared" ref="D66:L66" si="23">_xlfn.STDEV.P(D50:D62)</f>
        <v>0.53563046963368244</v>
      </c>
      <c r="E66">
        <f t="shared" si="23"/>
        <v>0.44196173761400742</v>
      </c>
      <c r="F66">
        <f t="shared" si="23"/>
        <v>0.89486924867391771</v>
      </c>
      <c r="G66">
        <f t="shared" si="23"/>
        <v>0.58315890249189883</v>
      </c>
      <c r="H66">
        <f t="shared" si="23"/>
        <v>0.55041832325833129</v>
      </c>
      <c r="I66">
        <f t="shared" si="23"/>
        <v>0.64192891138562014</v>
      </c>
      <c r="J66">
        <f t="shared" si="23"/>
        <v>0.74408034213756413</v>
      </c>
      <c r="K66">
        <f t="shared" si="23"/>
        <v>1.3004404848148399</v>
      </c>
      <c r="L66">
        <f t="shared" si="23"/>
        <v>1.5969537116099495</v>
      </c>
    </row>
    <row r="68" spans="2:12" x14ac:dyDescent="0.5">
      <c r="B68" s="5" t="s">
        <v>6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x14ac:dyDescent="0.5">
      <c r="B69" t="s">
        <v>1</v>
      </c>
      <c r="C69">
        <v>74</v>
      </c>
      <c r="D69">
        <v>69</v>
      </c>
      <c r="E69">
        <v>62</v>
      </c>
      <c r="F69">
        <v>57</v>
      </c>
      <c r="G69">
        <v>53</v>
      </c>
      <c r="H69">
        <v>50</v>
      </c>
      <c r="I69">
        <v>47</v>
      </c>
      <c r="J69">
        <v>45</v>
      </c>
      <c r="K69">
        <v>43</v>
      </c>
      <c r="L69">
        <v>41</v>
      </c>
    </row>
    <row r="70" spans="2:12" x14ac:dyDescent="0.5">
      <c r="B70" t="s">
        <v>2</v>
      </c>
      <c r="C70">
        <v>73</v>
      </c>
      <c r="D70">
        <v>120</v>
      </c>
      <c r="E70">
        <v>164</v>
      </c>
      <c r="F70">
        <v>256</v>
      </c>
      <c r="G70">
        <v>353</v>
      </c>
      <c r="H70">
        <v>427</v>
      </c>
      <c r="I70">
        <v>522</v>
      </c>
      <c r="J70">
        <v>586</v>
      </c>
      <c r="K70">
        <v>638</v>
      </c>
      <c r="L70">
        <v>705</v>
      </c>
    </row>
    <row r="71" spans="2:12" x14ac:dyDescent="0.5">
      <c r="B71" t="s">
        <v>3</v>
      </c>
      <c r="C71">
        <v>3</v>
      </c>
      <c r="D71">
        <v>4</v>
      </c>
      <c r="E71">
        <v>6</v>
      </c>
      <c r="F71">
        <v>8</v>
      </c>
      <c r="G71">
        <v>10</v>
      </c>
      <c r="H71">
        <v>12</v>
      </c>
      <c r="I71">
        <v>14</v>
      </c>
      <c r="J71">
        <v>16</v>
      </c>
      <c r="K71">
        <v>18</v>
      </c>
      <c r="L71">
        <v>20</v>
      </c>
    </row>
    <row r="72" spans="2:12" x14ac:dyDescent="0.5">
      <c r="C72">
        <v>20.03</v>
      </c>
      <c r="D72">
        <v>28.13</v>
      </c>
      <c r="E72">
        <v>31.44</v>
      </c>
      <c r="F72">
        <v>31.02</v>
      </c>
      <c r="G72">
        <v>30.93</v>
      </c>
      <c r="H72">
        <v>23.78</v>
      </c>
      <c r="I72">
        <v>27.57</v>
      </c>
      <c r="J72">
        <v>31.96</v>
      </c>
      <c r="K72">
        <v>35.840000000000003</v>
      </c>
      <c r="L72">
        <v>38.08</v>
      </c>
    </row>
    <row r="73" spans="2:12" x14ac:dyDescent="0.5">
      <c r="C73">
        <v>19.920000000000002</v>
      </c>
      <c r="D73">
        <v>28.29</v>
      </c>
      <c r="E73">
        <v>31.54</v>
      </c>
      <c r="F73">
        <v>30.79</v>
      </c>
      <c r="G73">
        <v>30.6</v>
      </c>
      <c r="H73">
        <v>23.47</v>
      </c>
      <c r="I73">
        <v>27.48</v>
      </c>
      <c r="J73">
        <v>32.659999999999997</v>
      </c>
      <c r="K73">
        <v>35.380000000000003</v>
      </c>
      <c r="L73">
        <v>37.770000000000003</v>
      </c>
    </row>
    <row r="74" spans="2:12" x14ac:dyDescent="0.5">
      <c r="C74">
        <v>20.48</v>
      </c>
      <c r="D74">
        <v>28.17</v>
      </c>
      <c r="E74">
        <v>30.59</v>
      </c>
      <c r="F74">
        <v>31.28</v>
      </c>
      <c r="G74">
        <v>30.46</v>
      </c>
      <c r="H74">
        <v>22.3</v>
      </c>
      <c r="I74">
        <v>28.05</v>
      </c>
      <c r="J74">
        <v>32.049999999999997</v>
      </c>
      <c r="K74">
        <v>35.36</v>
      </c>
      <c r="L74">
        <v>37.69</v>
      </c>
    </row>
    <row r="75" spans="2:12" x14ac:dyDescent="0.5">
      <c r="C75">
        <v>20.43</v>
      </c>
      <c r="D75">
        <v>28.14</v>
      </c>
      <c r="E75">
        <v>31.23</v>
      </c>
      <c r="F75">
        <v>30.83</v>
      </c>
      <c r="G75">
        <v>30.22</v>
      </c>
      <c r="H75">
        <v>22.47</v>
      </c>
      <c r="I75">
        <v>27.64</v>
      </c>
      <c r="J75">
        <v>32.35</v>
      </c>
      <c r="K75">
        <v>34.86</v>
      </c>
      <c r="L75">
        <v>37.5</v>
      </c>
    </row>
    <row r="76" spans="2:12" x14ac:dyDescent="0.5">
      <c r="C76">
        <v>20.07</v>
      </c>
      <c r="D76">
        <v>27.86</v>
      </c>
      <c r="E76">
        <v>31.42</v>
      </c>
      <c r="F76">
        <v>31.2</v>
      </c>
      <c r="G76">
        <v>30.33</v>
      </c>
      <c r="H76">
        <v>22.79</v>
      </c>
      <c r="I76">
        <v>27.85</v>
      </c>
      <c r="J76">
        <v>32.01</v>
      </c>
      <c r="K76">
        <v>34.979999999999997</v>
      </c>
      <c r="L76">
        <v>37.200000000000003</v>
      </c>
    </row>
    <row r="77" spans="2:12" x14ac:dyDescent="0.5">
      <c r="C77">
        <v>20.63</v>
      </c>
      <c r="D77">
        <v>27.81</v>
      </c>
      <c r="E77">
        <v>31.48</v>
      </c>
      <c r="F77">
        <v>31.27</v>
      </c>
      <c r="G77">
        <v>29.91</v>
      </c>
      <c r="H77">
        <v>23.02</v>
      </c>
      <c r="I77">
        <v>27.02</v>
      </c>
      <c r="J77">
        <v>32.93</v>
      </c>
      <c r="K77">
        <v>34.99</v>
      </c>
      <c r="L77">
        <v>37.020000000000003</v>
      </c>
    </row>
    <row r="78" spans="2:12" x14ac:dyDescent="0.5">
      <c r="C78">
        <v>20.7</v>
      </c>
      <c r="D78">
        <v>29.35</v>
      </c>
      <c r="E78">
        <v>33.44</v>
      </c>
      <c r="F78">
        <v>32.94</v>
      </c>
      <c r="G78">
        <v>33.29</v>
      </c>
      <c r="H78">
        <v>25.09</v>
      </c>
      <c r="I78">
        <v>28.91</v>
      </c>
      <c r="J78">
        <v>34.61</v>
      </c>
      <c r="K78">
        <v>38.44</v>
      </c>
      <c r="L78">
        <v>40.020000000000003</v>
      </c>
    </row>
    <row r="79" spans="2:12" x14ac:dyDescent="0.5">
      <c r="C79">
        <v>22.96</v>
      </c>
      <c r="D79">
        <v>29.04</v>
      </c>
      <c r="E79">
        <v>33.24</v>
      </c>
      <c r="F79">
        <v>32.619999999999997</v>
      </c>
      <c r="G79">
        <v>32.46</v>
      </c>
      <c r="H79">
        <v>24.22</v>
      </c>
      <c r="I79">
        <v>29.4</v>
      </c>
      <c r="J79">
        <v>34.659999999999997</v>
      </c>
      <c r="K79">
        <v>37.950000000000003</v>
      </c>
      <c r="L79">
        <v>38.93</v>
      </c>
    </row>
    <row r="80" spans="2:12" x14ac:dyDescent="0.5">
      <c r="C80">
        <v>22.46</v>
      </c>
      <c r="D80">
        <v>29.68</v>
      </c>
      <c r="E80">
        <v>33.630000000000003</v>
      </c>
      <c r="F80">
        <v>32.89</v>
      </c>
      <c r="G80">
        <v>32.369999999999997</v>
      </c>
      <c r="H80">
        <v>24.07</v>
      </c>
      <c r="I80">
        <v>28.39</v>
      </c>
      <c r="J80">
        <v>34.29</v>
      </c>
      <c r="K80">
        <v>37.01</v>
      </c>
      <c r="L80">
        <v>39.340000000000003</v>
      </c>
    </row>
    <row r="81" spans="2:12" x14ac:dyDescent="0.5">
      <c r="C81">
        <v>22.89</v>
      </c>
      <c r="D81">
        <v>29.95</v>
      </c>
      <c r="E81">
        <v>33.15</v>
      </c>
      <c r="F81">
        <v>32.61</v>
      </c>
      <c r="G81">
        <v>32.08</v>
      </c>
      <c r="H81">
        <v>24.43</v>
      </c>
      <c r="I81">
        <v>28.54</v>
      </c>
      <c r="J81">
        <v>34.69</v>
      </c>
      <c r="K81">
        <v>37.479999999999997</v>
      </c>
      <c r="L81">
        <v>39.549999999999997</v>
      </c>
    </row>
    <row r="82" spans="2:12" x14ac:dyDescent="0.5">
      <c r="C82">
        <v>22.01</v>
      </c>
      <c r="D82">
        <v>29.61</v>
      </c>
      <c r="E82">
        <v>33.14</v>
      </c>
      <c r="F82">
        <v>32.78</v>
      </c>
      <c r="G82">
        <v>31.98</v>
      </c>
      <c r="H82">
        <v>24.51</v>
      </c>
      <c r="I82">
        <v>28.44</v>
      </c>
      <c r="J82">
        <v>33.96</v>
      </c>
      <c r="K82">
        <v>37.46</v>
      </c>
      <c r="L82">
        <v>39.56</v>
      </c>
    </row>
    <row r="83" spans="2:12" x14ac:dyDescent="0.5">
      <c r="C83">
        <v>22.68</v>
      </c>
      <c r="E83">
        <v>32.840000000000003</v>
      </c>
      <c r="J83">
        <v>34.6</v>
      </c>
      <c r="L83">
        <v>39.25</v>
      </c>
    </row>
    <row r="85" spans="2:12" x14ac:dyDescent="0.5">
      <c r="C85">
        <f t="shared" ref="C85:L85" si="24">AVERAGE(C72:C83)</f>
        <v>21.271666666666665</v>
      </c>
      <c r="D85">
        <f t="shared" si="24"/>
        <v>28.729999999999997</v>
      </c>
      <c r="E85">
        <f t="shared" si="24"/>
        <v>32.261666666666663</v>
      </c>
      <c r="F85">
        <f t="shared" si="24"/>
        <v>31.83909090909091</v>
      </c>
      <c r="G85">
        <f t="shared" si="24"/>
        <v>31.33</v>
      </c>
      <c r="H85">
        <f t="shared" si="24"/>
        <v>23.650000000000002</v>
      </c>
      <c r="I85">
        <f t="shared" si="24"/>
        <v>28.117272727272731</v>
      </c>
      <c r="J85">
        <f t="shared" si="24"/>
        <v>33.397500000000001</v>
      </c>
      <c r="K85">
        <f t="shared" si="24"/>
        <v>36.340909090909093</v>
      </c>
      <c r="L85">
        <f t="shared" si="24"/>
        <v>38.492500000000007</v>
      </c>
    </row>
    <row r="86" spans="2:12" x14ac:dyDescent="0.5">
      <c r="C86">
        <f>C85</f>
        <v>21.271666666666665</v>
      </c>
      <c r="D86">
        <f t="shared" ref="D86:G86" si="25">D85</f>
        <v>28.729999999999997</v>
      </c>
      <c r="E86">
        <f t="shared" si="25"/>
        <v>32.261666666666663</v>
      </c>
      <c r="F86">
        <f t="shared" si="25"/>
        <v>31.83909090909091</v>
      </c>
      <c r="G86">
        <f t="shared" si="25"/>
        <v>31.33</v>
      </c>
      <c r="H86">
        <f>H85+8</f>
        <v>31.650000000000002</v>
      </c>
      <c r="I86">
        <f t="shared" ref="I86:L86" si="26">I85+8</f>
        <v>36.117272727272734</v>
      </c>
      <c r="J86">
        <f t="shared" si="26"/>
        <v>41.397500000000001</v>
      </c>
      <c r="K86">
        <f t="shared" si="26"/>
        <v>44.340909090909093</v>
      </c>
      <c r="L86">
        <f t="shared" si="26"/>
        <v>46.492500000000007</v>
      </c>
    </row>
    <row r="87" spans="2:12" x14ac:dyDescent="0.5">
      <c r="C87">
        <f t="shared" ref="C87:L87" si="27">_xlfn.STDEV.P(C72:C83)</f>
        <v>1.1653528316446577</v>
      </c>
      <c r="D87">
        <f t="shared" si="27"/>
        <v>0.76659815240628337</v>
      </c>
      <c r="E87">
        <f t="shared" si="27"/>
        <v>1.0200966729787047</v>
      </c>
      <c r="F87">
        <f t="shared" si="27"/>
        <v>0.86552616204831301</v>
      </c>
      <c r="G87">
        <f t="shared" si="27"/>
        <v>1.0822283408866085</v>
      </c>
      <c r="H87">
        <f t="shared" si="27"/>
        <v>0.86987982451078238</v>
      </c>
      <c r="I87">
        <f t="shared" si="27"/>
        <v>0.6636276462690216</v>
      </c>
      <c r="J87">
        <f t="shared" si="27"/>
        <v>1.1165656048795343</v>
      </c>
      <c r="K87">
        <f t="shared" si="27"/>
        <v>1.2791862082480017</v>
      </c>
      <c r="L87">
        <f t="shared" si="27"/>
        <v>1.0097287176926946</v>
      </c>
    </row>
    <row r="89" spans="2:12" x14ac:dyDescent="0.5">
      <c r="B89" s="5" t="s">
        <v>7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2:12" x14ac:dyDescent="0.5">
      <c r="B90" t="s">
        <v>1</v>
      </c>
      <c r="C90">
        <v>74</v>
      </c>
      <c r="D90">
        <v>69</v>
      </c>
      <c r="E90">
        <v>62</v>
      </c>
      <c r="F90">
        <v>57</v>
      </c>
      <c r="G90">
        <v>53</v>
      </c>
      <c r="H90">
        <v>50</v>
      </c>
      <c r="I90">
        <v>47</v>
      </c>
      <c r="J90">
        <v>45</v>
      </c>
      <c r="K90">
        <v>43</v>
      </c>
      <c r="L90">
        <v>41</v>
      </c>
    </row>
    <row r="91" spans="2:12" x14ac:dyDescent="0.5">
      <c r="B91" t="s">
        <v>2</v>
      </c>
      <c r="C91">
        <v>73</v>
      </c>
      <c r="D91">
        <v>120</v>
      </c>
      <c r="E91">
        <v>164</v>
      </c>
      <c r="F91">
        <v>256</v>
      </c>
      <c r="G91">
        <v>353</v>
      </c>
      <c r="H91">
        <v>427</v>
      </c>
      <c r="I91">
        <v>522</v>
      </c>
      <c r="J91">
        <v>586</v>
      </c>
      <c r="K91">
        <v>638</v>
      </c>
      <c r="L91">
        <v>705</v>
      </c>
    </row>
    <row r="92" spans="2:12" x14ac:dyDescent="0.5">
      <c r="B92" t="s">
        <v>3</v>
      </c>
      <c r="C92">
        <v>3</v>
      </c>
      <c r="D92">
        <v>4</v>
      </c>
      <c r="E92">
        <v>6</v>
      </c>
      <c r="F92">
        <v>8</v>
      </c>
      <c r="G92">
        <v>10</v>
      </c>
      <c r="H92">
        <v>12</v>
      </c>
      <c r="I92">
        <v>14</v>
      </c>
      <c r="J92">
        <v>16</v>
      </c>
      <c r="K92">
        <v>18</v>
      </c>
      <c r="L92">
        <v>20</v>
      </c>
    </row>
    <row r="93" spans="2:12" x14ac:dyDescent="0.5">
      <c r="C93">
        <v>21.13</v>
      </c>
      <c r="D93">
        <v>28.42</v>
      </c>
      <c r="E93">
        <v>31.77</v>
      </c>
      <c r="F93">
        <v>32.200000000000003</v>
      </c>
      <c r="G93">
        <v>31.6</v>
      </c>
      <c r="H93">
        <v>24.26</v>
      </c>
      <c r="I93">
        <v>28.18</v>
      </c>
      <c r="J93">
        <v>34.049999999999997</v>
      </c>
      <c r="K93">
        <v>37.729999999999997</v>
      </c>
      <c r="L93">
        <v>38.729999999999997</v>
      </c>
    </row>
    <row r="94" spans="2:12" x14ac:dyDescent="0.5">
      <c r="C94">
        <v>21.33</v>
      </c>
      <c r="D94">
        <v>28.02</v>
      </c>
      <c r="E94">
        <v>31.72</v>
      </c>
      <c r="F94">
        <v>31.06</v>
      </c>
      <c r="G94">
        <v>30.5</v>
      </c>
      <c r="H94">
        <v>22.79</v>
      </c>
      <c r="I94">
        <v>28.18</v>
      </c>
      <c r="J94">
        <v>33.090000000000003</v>
      </c>
      <c r="K94">
        <v>36.97</v>
      </c>
      <c r="L94">
        <v>38.130000000000003</v>
      </c>
    </row>
    <row r="95" spans="2:12" x14ac:dyDescent="0.5">
      <c r="C95">
        <v>21.04</v>
      </c>
      <c r="D95">
        <v>28.54</v>
      </c>
      <c r="E95">
        <v>32.28</v>
      </c>
      <c r="F95">
        <v>31.33</v>
      </c>
      <c r="G95">
        <v>30.4</v>
      </c>
      <c r="H95">
        <v>23</v>
      </c>
      <c r="I95">
        <v>27.88</v>
      </c>
      <c r="J95">
        <v>33.549999999999997</v>
      </c>
      <c r="K95">
        <v>36.799999999999997</v>
      </c>
      <c r="L95">
        <v>38.799999999999997</v>
      </c>
    </row>
    <row r="96" spans="2:12" x14ac:dyDescent="0.5">
      <c r="C96">
        <v>20.59</v>
      </c>
      <c r="D96">
        <v>28.02</v>
      </c>
      <c r="E96">
        <v>31.93</v>
      </c>
      <c r="F96">
        <v>32.01</v>
      </c>
      <c r="G96">
        <v>30.55</v>
      </c>
      <c r="H96">
        <v>22.96</v>
      </c>
      <c r="I96">
        <v>27.78</v>
      </c>
      <c r="J96">
        <v>33.630000000000003</v>
      </c>
      <c r="K96">
        <v>36.65</v>
      </c>
      <c r="L96">
        <v>38.56</v>
      </c>
    </row>
    <row r="97" spans="3:12" x14ac:dyDescent="0.5">
      <c r="C97">
        <v>21.54</v>
      </c>
      <c r="D97">
        <v>27.9</v>
      </c>
      <c r="E97">
        <v>31.83</v>
      </c>
      <c r="F97">
        <v>32.270000000000003</v>
      </c>
      <c r="G97">
        <v>30.89</v>
      </c>
      <c r="H97">
        <v>23.15</v>
      </c>
      <c r="I97">
        <v>27.58</v>
      </c>
      <c r="J97">
        <v>33.21</v>
      </c>
      <c r="K97">
        <v>37.43</v>
      </c>
      <c r="L97">
        <v>38.409999999999997</v>
      </c>
    </row>
    <row r="98" spans="3:12" x14ac:dyDescent="0.5">
      <c r="C98">
        <v>21.25</v>
      </c>
      <c r="D98">
        <v>28.3</v>
      </c>
      <c r="E98">
        <v>32.08</v>
      </c>
      <c r="F98">
        <v>31.79</v>
      </c>
      <c r="G98">
        <v>30.76</v>
      </c>
      <c r="H98">
        <v>22.45</v>
      </c>
      <c r="I98">
        <v>28.07</v>
      </c>
      <c r="J98">
        <v>33.270000000000003</v>
      </c>
      <c r="K98">
        <v>36.590000000000003</v>
      </c>
      <c r="L98">
        <v>38.130000000000003</v>
      </c>
    </row>
    <row r="99" spans="3:12" x14ac:dyDescent="0.5">
      <c r="C99">
        <v>21.8</v>
      </c>
      <c r="D99">
        <v>28.91</v>
      </c>
      <c r="E99">
        <v>33.42</v>
      </c>
      <c r="F99">
        <v>32.06</v>
      </c>
      <c r="G99">
        <v>31.29</v>
      </c>
      <c r="H99">
        <v>23.51</v>
      </c>
      <c r="I99">
        <v>28.27</v>
      </c>
      <c r="J99">
        <v>34.18</v>
      </c>
      <c r="K99">
        <v>37.090000000000003</v>
      </c>
      <c r="L99">
        <v>40.25</v>
      </c>
    </row>
    <row r="100" spans="3:12" x14ac:dyDescent="0.5">
      <c r="C100">
        <v>21.35</v>
      </c>
      <c r="D100">
        <v>28.59</v>
      </c>
      <c r="E100">
        <v>32.4</v>
      </c>
      <c r="F100">
        <v>31.5</v>
      </c>
      <c r="G100">
        <v>31.12</v>
      </c>
      <c r="H100">
        <v>23.09</v>
      </c>
      <c r="I100">
        <v>28.66</v>
      </c>
      <c r="J100">
        <v>33.72</v>
      </c>
      <c r="K100">
        <v>36.9</v>
      </c>
      <c r="L100">
        <v>39.72</v>
      </c>
    </row>
    <row r="101" spans="3:12" x14ac:dyDescent="0.5">
      <c r="C101">
        <v>21.93</v>
      </c>
      <c r="D101">
        <v>28.96</v>
      </c>
      <c r="E101">
        <v>32.35</v>
      </c>
      <c r="F101">
        <v>31.58</v>
      </c>
      <c r="G101">
        <v>30.85</v>
      </c>
      <c r="H101">
        <v>23.58</v>
      </c>
      <c r="I101">
        <v>27.41</v>
      </c>
      <c r="J101">
        <v>33.369999999999997</v>
      </c>
      <c r="K101">
        <v>37.520000000000003</v>
      </c>
      <c r="L101">
        <v>40.07</v>
      </c>
    </row>
    <row r="102" spans="3:12" x14ac:dyDescent="0.5">
      <c r="C102">
        <v>21.15</v>
      </c>
      <c r="D102">
        <v>28.64</v>
      </c>
      <c r="E102">
        <v>32.54</v>
      </c>
      <c r="F102">
        <v>31.64</v>
      </c>
      <c r="G102">
        <v>30.9</v>
      </c>
      <c r="H102">
        <v>23.31</v>
      </c>
      <c r="I102">
        <v>27.84</v>
      </c>
      <c r="J102">
        <v>34.11</v>
      </c>
      <c r="K102">
        <v>37.85</v>
      </c>
      <c r="L102">
        <v>39.76</v>
      </c>
    </row>
    <row r="103" spans="3:12" x14ac:dyDescent="0.5">
      <c r="C103">
        <v>21.92</v>
      </c>
      <c r="D103">
        <v>28.33</v>
      </c>
      <c r="E103">
        <v>32.17</v>
      </c>
      <c r="F103">
        <v>32.01</v>
      </c>
      <c r="G103">
        <v>31.12</v>
      </c>
      <c r="H103">
        <v>23.19</v>
      </c>
      <c r="I103">
        <v>28.01</v>
      </c>
      <c r="J103">
        <v>34.229999999999997</v>
      </c>
      <c r="K103">
        <v>37.47</v>
      </c>
      <c r="L103">
        <v>38.58</v>
      </c>
    </row>
    <row r="104" spans="3:12" x14ac:dyDescent="0.5">
      <c r="D104">
        <v>28.66</v>
      </c>
      <c r="E104">
        <v>31.85</v>
      </c>
      <c r="G104">
        <v>31.56</v>
      </c>
      <c r="H104">
        <v>22.81</v>
      </c>
      <c r="I104">
        <v>27.36</v>
      </c>
      <c r="J104">
        <v>32.51</v>
      </c>
      <c r="K104">
        <v>37.49</v>
      </c>
      <c r="L104">
        <v>39.590000000000003</v>
      </c>
    </row>
    <row r="106" spans="3:12" x14ac:dyDescent="0.5">
      <c r="C106">
        <f>AVERAGE(C93:C104)</f>
        <v>21.366363636363641</v>
      </c>
      <c r="D106">
        <f t="shared" ref="D106:L106" si="28">AVERAGE(D93:D104)</f>
        <v>28.440833333333334</v>
      </c>
      <c r="E106">
        <f t="shared" si="28"/>
        <v>32.195</v>
      </c>
      <c r="F106">
        <f t="shared" si="28"/>
        <v>31.768181818181816</v>
      </c>
      <c r="G106">
        <f t="shared" si="28"/>
        <v>30.961666666666662</v>
      </c>
      <c r="H106">
        <f t="shared" si="28"/>
        <v>23.174999999999997</v>
      </c>
      <c r="I106">
        <f t="shared" si="28"/>
        <v>27.934999999999999</v>
      </c>
      <c r="J106">
        <f t="shared" si="28"/>
        <v>33.576666666666675</v>
      </c>
      <c r="K106">
        <f t="shared" si="28"/>
        <v>37.207500000000003</v>
      </c>
      <c r="L106">
        <f t="shared" si="28"/>
        <v>39.060833333333335</v>
      </c>
    </row>
    <row r="107" spans="3:12" x14ac:dyDescent="0.5">
      <c r="C107">
        <f>C106</f>
        <v>21.366363636363641</v>
      </c>
      <c r="D107">
        <f t="shared" ref="D107:G107" si="29">D106</f>
        <v>28.440833333333334</v>
      </c>
      <c r="E107">
        <f t="shared" si="29"/>
        <v>32.195</v>
      </c>
      <c r="F107">
        <f t="shared" si="29"/>
        <v>31.768181818181816</v>
      </c>
      <c r="G107">
        <f t="shared" si="29"/>
        <v>30.961666666666662</v>
      </c>
      <c r="H107">
        <f>H106+8</f>
        <v>31.174999999999997</v>
      </c>
      <c r="I107">
        <f t="shared" ref="I107:L107" si="30">I106+8</f>
        <v>35.935000000000002</v>
      </c>
      <c r="J107">
        <f t="shared" si="30"/>
        <v>41.576666666666675</v>
      </c>
      <c r="K107">
        <f t="shared" si="30"/>
        <v>45.207500000000003</v>
      </c>
      <c r="L107">
        <f t="shared" si="30"/>
        <v>47.060833333333335</v>
      </c>
    </row>
    <row r="108" spans="3:12" x14ac:dyDescent="0.5">
      <c r="C108">
        <f>_xlfn.STDEV.P(C93:C104)</f>
        <v>0.38957489015762126</v>
      </c>
      <c r="D108">
        <f t="shared" ref="D108:L108" si="31">_xlfn.STDEV.P(D93:D104)</f>
        <v>0.32770561823414396</v>
      </c>
      <c r="E108">
        <f t="shared" si="31"/>
        <v>0.45050897142380397</v>
      </c>
      <c r="F108">
        <f t="shared" si="31"/>
        <v>0.36408835545580576</v>
      </c>
      <c r="G108">
        <f t="shared" si="31"/>
        <v>0.37456270799723546</v>
      </c>
      <c r="H108">
        <f t="shared" si="31"/>
        <v>0.44381865666057851</v>
      </c>
      <c r="I108">
        <f t="shared" si="31"/>
        <v>0.35940923749953912</v>
      </c>
      <c r="J108">
        <f t="shared" si="31"/>
        <v>0.49743229578394704</v>
      </c>
      <c r="K108">
        <f t="shared" si="31"/>
        <v>0.4087200549683529</v>
      </c>
      <c r="L108">
        <f t="shared" si="31"/>
        <v>0.73325141587922538</v>
      </c>
    </row>
  </sheetData>
  <mergeCells count="5">
    <mergeCell ref="B1:L1"/>
    <mergeCell ref="B24:L24"/>
    <mergeCell ref="B46:L46"/>
    <mergeCell ref="B68:L68"/>
    <mergeCell ref="B89:L8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2F1B-6105-4963-BD48-6BB1DD724032}">
  <dimension ref="B1:AK107"/>
  <sheetViews>
    <sheetView topLeftCell="A32" zoomScale="70" zoomScaleNormal="70" workbookViewId="0">
      <selection activeCell="P18" sqref="P18:Y22"/>
    </sheetView>
  </sheetViews>
  <sheetFormatPr defaultRowHeight="14.35" x14ac:dyDescent="0.5"/>
  <sheetData>
    <row r="1" spans="2:37" x14ac:dyDescent="0.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37" x14ac:dyDescent="0.5">
      <c r="B2" t="s">
        <v>1</v>
      </c>
      <c r="C2">
        <v>74</v>
      </c>
      <c r="D2">
        <v>69</v>
      </c>
      <c r="E2">
        <v>62</v>
      </c>
      <c r="F2">
        <v>57</v>
      </c>
      <c r="G2">
        <v>53</v>
      </c>
      <c r="H2">
        <v>50</v>
      </c>
      <c r="I2">
        <v>47</v>
      </c>
      <c r="J2">
        <v>45</v>
      </c>
      <c r="K2">
        <v>43</v>
      </c>
      <c r="L2">
        <v>41</v>
      </c>
    </row>
    <row r="3" spans="2:37" x14ac:dyDescent="0.5">
      <c r="B3" t="s">
        <v>2</v>
      </c>
      <c r="C3">
        <v>73</v>
      </c>
      <c r="D3">
        <v>120</v>
      </c>
      <c r="E3">
        <v>164</v>
      </c>
      <c r="F3">
        <v>256</v>
      </c>
      <c r="G3">
        <v>353</v>
      </c>
      <c r="H3">
        <v>427</v>
      </c>
      <c r="I3">
        <v>522</v>
      </c>
      <c r="J3">
        <v>586</v>
      </c>
      <c r="K3">
        <v>638</v>
      </c>
      <c r="L3">
        <v>705</v>
      </c>
      <c r="P3">
        <v>73</v>
      </c>
      <c r="Q3">
        <v>120</v>
      </c>
      <c r="R3">
        <v>164</v>
      </c>
      <c r="S3">
        <v>256</v>
      </c>
      <c r="T3">
        <v>353</v>
      </c>
      <c r="U3">
        <v>427</v>
      </c>
      <c r="V3">
        <v>522</v>
      </c>
      <c r="W3">
        <v>586</v>
      </c>
      <c r="X3">
        <v>638</v>
      </c>
      <c r="Y3">
        <v>705</v>
      </c>
      <c r="AB3">
        <v>73</v>
      </c>
      <c r="AC3">
        <v>120</v>
      </c>
      <c r="AD3">
        <v>164</v>
      </c>
      <c r="AE3">
        <v>256</v>
      </c>
      <c r="AF3">
        <v>353</v>
      </c>
      <c r="AG3">
        <v>427</v>
      </c>
      <c r="AH3">
        <v>522</v>
      </c>
      <c r="AI3">
        <v>586</v>
      </c>
      <c r="AJ3">
        <v>638</v>
      </c>
      <c r="AK3">
        <v>705</v>
      </c>
    </row>
    <row r="4" spans="2:37" x14ac:dyDescent="0.5">
      <c r="B4" t="s">
        <v>3</v>
      </c>
      <c r="C4">
        <v>3</v>
      </c>
      <c r="D4">
        <v>4</v>
      </c>
      <c r="E4">
        <v>6</v>
      </c>
      <c r="F4">
        <v>8</v>
      </c>
      <c r="G4">
        <v>10</v>
      </c>
      <c r="H4">
        <v>12</v>
      </c>
      <c r="I4">
        <v>14</v>
      </c>
      <c r="J4">
        <v>16</v>
      </c>
      <c r="K4">
        <v>18</v>
      </c>
      <c r="L4">
        <v>20</v>
      </c>
      <c r="O4" t="s">
        <v>8</v>
      </c>
      <c r="P4">
        <f>C20</f>
        <v>2.3008333333333333</v>
      </c>
      <c r="Q4">
        <f t="shared" ref="Q4:Y4" si="0">D20</f>
        <v>7.0753846153846132</v>
      </c>
      <c r="R4">
        <f t="shared" si="0"/>
        <v>14.559230769230767</v>
      </c>
      <c r="S4">
        <f t="shared" si="0"/>
        <v>15.910000000000002</v>
      </c>
      <c r="T4">
        <f t="shared" si="0"/>
        <v>17.102500000000003</v>
      </c>
      <c r="U4">
        <f t="shared" si="0"/>
        <v>21.193333333333335</v>
      </c>
      <c r="V4">
        <f t="shared" si="0"/>
        <v>29.217500000000001</v>
      </c>
      <c r="W4">
        <f t="shared" si="0"/>
        <v>34.410833333333329</v>
      </c>
      <c r="X4">
        <f t="shared" si="0"/>
        <v>36.053333333333327</v>
      </c>
      <c r="Y4">
        <f t="shared" si="0"/>
        <v>38.681666666666672</v>
      </c>
      <c r="AA4" t="s">
        <v>8</v>
      </c>
      <c r="AB4">
        <f>P4</f>
        <v>2.3008333333333333</v>
      </c>
      <c r="AC4">
        <f t="shared" ref="AC4:AK8" si="1">Q4</f>
        <v>7.0753846153846132</v>
      </c>
      <c r="AD4">
        <f t="shared" si="1"/>
        <v>14.559230769230767</v>
      </c>
      <c r="AE4">
        <f t="shared" si="1"/>
        <v>15.910000000000002</v>
      </c>
      <c r="AF4">
        <f t="shared" si="1"/>
        <v>17.102500000000003</v>
      </c>
      <c r="AG4">
        <f t="shared" si="1"/>
        <v>21.193333333333335</v>
      </c>
      <c r="AH4">
        <f t="shared" si="1"/>
        <v>29.217500000000001</v>
      </c>
      <c r="AI4">
        <f t="shared" si="1"/>
        <v>34.410833333333329</v>
      </c>
      <c r="AJ4">
        <f t="shared" si="1"/>
        <v>36.053333333333327</v>
      </c>
      <c r="AK4">
        <f t="shared" si="1"/>
        <v>38.681666666666672</v>
      </c>
    </row>
    <row r="5" spans="2:37" x14ac:dyDescent="0.5">
      <c r="C5">
        <v>4.41</v>
      </c>
      <c r="D5">
        <v>9.32</v>
      </c>
      <c r="E5">
        <v>16.690000000000001</v>
      </c>
      <c r="F5">
        <v>17.38</v>
      </c>
      <c r="G5">
        <v>19.87</v>
      </c>
      <c r="H5">
        <v>16.34</v>
      </c>
      <c r="I5">
        <v>27.86</v>
      </c>
      <c r="J5">
        <v>30.61</v>
      </c>
      <c r="K5">
        <v>31.08</v>
      </c>
      <c r="L5">
        <v>34.520000000000003</v>
      </c>
      <c r="O5" t="s">
        <v>9</v>
      </c>
      <c r="P5">
        <f>C42</f>
        <v>4.0791666666666666</v>
      </c>
      <c r="Q5">
        <f t="shared" ref="Q5:Y5" si="2">D42</f>
        <v>13.824999999999998</v>
      </c>
      <c r="R5">
        <f t="shared" si="2"/>
        <v>20.169166666666669</v>
      </c>
      <c r="S5">
        <f t="shared" si="2"/>
        <v>20.938461538461539</v>
      </c>
      <c r="T5">
        <f t="shared" si="2"/>
        <v>21.546363636363637</v>
      </c>
      <c r="U5">
        <f t="shared" si="2"/>
        <v>22.836363636363636</v>
      </c>
      <c r="V5">
        <f t="shared" si="2"/>
        <v>28.924545454545456</v>
      </c>
      <c r="W5">
        <f t="shared" si="2"/>
        <v>33.906666666666666</v>
      </c>
      <c r="X5">
        <f t="shared" si="2"/>
        <v>36.652500000000003</v>
      </c>
      <c r="Y5">
        <f t="shared" si="2"/>
        <v>40.068461538461534</v>
      </c>
      <c r="AA5" t="s">
        <v>9</v>
      </c>
      <c r="AB5">
        <f t="shared" ref="AB5:AB8" si="3">P5</f>
        <v>4.0791666666666666</v>
      </c>
      <c r="AC5">
        <f t="shared" si="1"/>
        <v>13.824999999999998</v>
      </c>
      <c r="AD5">
        <f t="shared" si="1"/>
        <v>20.169166666666669</v>
      </c>
      <c r="AE5">
        <f t="shared" si="1"/>
        <v>20.938461538461539</v>
      </c>
      <c r="AF5">
        <f t="shared" si="1"/>
        <v>21.546363636363637</v>
      </c>
      <c r="AG5">
        <f t="shared" si="1"/>
        <v>22.836363636363636</v>
      </c>
      <c r="AH5">
        <f t="shared" si="1"/>
        <v>28.924545454545456</v>
      </c>
      <c r="AI5">
        <f t="shared" si="1"/>
        <v>33.906666666666666</v>
      </c>
      <c r="AJ5">
        <f t="shared" si="1"/>
        <v>36.652500000000003</v>
      </c>
      <c r="AK5">
        <f t="shared" si="1"/>
        <v>40.068461538461534</v>
      </c>
    </row>
    <row r="6" spans="2:37" x14ac:dyDescent="0.5">
      <c r="C6">
        <v>3.38</v>
      </c>
      <c r="D6">
        <v>7.61</v>
      </c>
      <c r="E6">
        <v>14.22</v>
      </c>
      <c r="F6">
        <v>15.7</v>
      </c>
      <c r="G6">
        <v>18.05</v>
      </c>
      <c r="H6">
        <v>13.62</v>
      </c>
      <c r="I6">
        <v>22.59</v>
      </c>
      <c r="J6">
        <v>27.79</v>
      </c>
      <c r="K6">
        <v>27.15</v>
      </c>
      <c r="L6">
        <v>32.979999999999997</v>
      </c>
      <c r="O6" t="s">
        <v>10</v>
      </c>
      <c r="P6">
        <f>C64</f>
        <v>9.014615384615384</v>
      </c>
      <c r="Q6">
        <f t="shared" ref="Q6:Y6" si="4">D64</f>
        <v>21.0275</v>
      </c>
      <c r="R6">
        <f t="shared" si="4"/>
        <v>25.843333333333337</v>
      </c>
      <c r="S6">
        <f t="shared" si="4"/>
        <v>25.640833333333337</v>
      </c>
      <c r="T6">
        <f t="shared" si="4"/>
        <v>25.880000000000003</v>
      </c>
      <c r="U6">
        <f t="shared" si="4"/>
        <v>25.544545454545457</v>
      </c>
      <c r="V6">
        <f t="shared" si="4"/>
        <v>28.849090909090908</v>
      </c>
      <c r="W6">
        <f t="shared" si="4"/>
        <v>33.314545454545453</v>
      </c>
      <c r="X6">
        <f t="shared" si="4"/>
        <v>37.455454545454543</v>
      </c>
      <c r="Y6">
        <f t="shared" si="4"/>
        <v>38.716363636363639</v>
      </c>
      <c r="AA6" t="s">
        <v>10</v>
      </c>
      <c r="AB6">
        <f t="shared" si="3"/>
        <v>9.014615384615384</v>
      </c>
      <c r="AC6">
        <f t="shared" si="1"/>
        <v>21.0275</v>
      </c>
      <c r="AD6">
        <f t="shared" si="1"/>
        <v>25.843333333333337</v>
      </c>
      <c r="AE6">
        <f t="shared" si="1"/>
        <v>25.640833333333337</v>
      </c>
      <c r="AF6">
        <f t="shared" si="1"/>
        <v>25.880000000000003</v>
      </c>
      <c r="AG6">
        <f t="shared" si="1"/>
        <v>25.544545454545457</v>
      </c>
      <c r="AH6">
        <f t="shared" si="1"/>
        <v>28.849090909090908</v>
      </c>
      <c r="AI6">
        <f t="shared" si="1"/>
        <v>33.314545454545453</v>
      </c>
      <c r="AJ6">
        <f t="shared" si="1"/>
        <v>37.455454545454543</v>
      </c>
      <c r="AK6">
        <f t="shared" si="1"/>
        <v>38.716363636363639</v>
      </c>
    </row>
    <row r="7" spans="2:37" x14ac:dyDescent="0.5">
      <c r="C7">
        <v>3.09</v>
      </c>
      <c r="D7">
        <v>6.75</v>
      </c>
      <c r="E7">
        <v>13.89</v>
      </c>
      <c r="F7">
        <v>15.74</v>
      </c>
      <c r="G7">
        <v>18.52</v>
      </c>
      <c r="H7">
        <v>13.94</v>
      </c>
      <c r="I7">
        <v>21.75</v>
      </c>
      <c r="J7">
        <v>23.91</v>
      </c>
      <c r="K7">
        <v>28.8</v>
      </c>
      <c r="L7">
        <v>32.159999999999997</v>
      </c>
      <c r="O7" t="s">
        <v>11</v>
      </c>
      <c r="P7">
        <f>C85</f>
        <v>13.243636363636362</v>
      </c>
      <c r="Q7">
        <f t="shared" ref="Q7:Y7" si="5">D85</f>
        <v>22.405454545454546</v>
      </c>
      <c r="R7">
        <f t="shared" si="5"/>
        <v>26.638181818181817</v>
      </c>
      <c r="S7">
        <f t="shared" si="5"/>
        <v>26.314545454545453</v>
      </c>
      <c r="T7">
        <f t="shared" si="5"/>
        <v>25.556363636363631</v>
      </c>
      <c r="U7">
        <f t="shared" si="5"/>
        <v>25.902727272727272</v>
      </c>
      <c r="V7">
        <f t="shared" si="5"/>
        <v>28.609090909090909</v>
      </c>
      <c r="W7">
        <f t="shared" si="5"/>
        <v>32.951818181818183</v>
      </c>
      <c r="X7">
        <f t="shared" si="5"/>
        <v>36.390000000000008</v>
      </c>
      <c r="Y7">
        <f t="shared" si="5"/>
        <v>39.276666666666671</v>
      </c>
      <c r="AA7" t="s">
        <v>11</v>
      </c>
      <c r="AB7">
        <f t="shared" si="3"/>
        <v>13.243636363636362</v>
      </c>
      <c r="AC7">
        <f t="shared" si="1"/>
        <v>22.405454545454546</v>
      </c>
      <c r="AD7">
        <f t="shared" si="1"/>
        <v>26.638181818181817</v>
      </c>
      <c r="AE7">
        <f t="shared" si="1"/>
        <v>26.314545454545453</v>
      </c>
      <c r="AF7">
        <f t="shared" si="1"/>
        <v>25.556363636363631</v>
      </c>
      <c r="AG7">
        <f t="shared" si="1"/>
        <v>25.902727272727272</v>
      </c>
      <c r="AH7">
        <f t="shared" si="1"/>
        <v>28.609090909090909</v>
      </c>
      <c r="AI7">
        <f t="shared" si="1"/>
        <v>32.951818181818183</v>
      </c>
      <c r="AJ7">
        <f t="shared" si="1"/>
        <v>36.390000000000008</v>
      </c>
      <c r="AK7">
        <f t="shared" si="1"/>
        <v>39.276666666666671</v>
      </c>
    </row>
    <row r="8" spans="2:37" x14ac:dyDescent="0.5">
      <c r="C8">
        <v>3.07</v>
      </c>
      <c r="D8">
        <v>6.65</v>
      </c>
      <c r="E8">
        <v>14.61</v>
      </c>
      <c r="F8">
        <v>17.059999999999999</v>
      </c>
      <c r="G8">
        <v>16.91</v>
      </c>
      <c r="H8">
        <v>14.47</v>
      </c>
      <c r="I8">
        <v>21.75</v>
      </c>
      <c r="J8">
        <v>28.65</v>
      </c>
      <c r="K8">
        <v>27.61</v>
      </c>
      <c r="L8">
        <v>32.18</v>
      </c>
      <c r="O8" t="s">
        <v>12</v>
      </c>
      <c r="P8">
        <f>C106</f>
        <v>12.085454545454546</v>
      </c>
      <c r="Q8">
        <f t="shared" ref="Q8:Y8" si="6">D106</f>
        <v>19.815000000000001</v>
      </c>
      <c r="R8">
        <f t="shared" si="6"/>
        <v>25.075454545454544</v>
      </c>
      <c r="S8">
        <f t="shared" si="6"/>
        <v>23.784166666666664</v>
      </c>
      <c r="T8">
        <f t="shared" si="6"/>
        <v>24.83818181818182</v>
      </c>
      <c r="U8">
        <f t="shared" si="6"/>
        <v>24.378333333333334</v>
      </c>
      <c r="V8">
        <f t="shared" si="6"/>
        <v>27.256363636363634</v>
      </c>
      <c r="W8">
        <f t="shared" si="6"/>
        <v>32.433333333333337</v>
      </c>
      <c r="X8">
        <f t="shared" si="6"/>
        <v>36.049166666666665</v>
      </c>
      <c r="Y8">
        <f t="shared" si="6"/>
        <v>37.954999999999998</v>
      </c>
      <c r="AA8" t="s">
        <v>12</v>
      </c>
      <c r="AB8">
        <f t="shared" si="3"/>
        <v>12.085454545454546</v>
      </c>
      <c r="AC8">
        <f t="shared" si="1"/>
        <v>19.815000000000001</v>
      </c>
      <c r="AD8">
        <f t="shared" si="1"/>
        <v>25.075454545454544</v>
      </c>
      <c r="AE8">
        <f t="shared" si="1"/>
        <v>23.784166666666664</v>
      </c>
      <c r="AF8">
        <f t="shared" si="1"/>
        <v>24.83818181818182</v>
      </c>
      <c r="AG8">
        <f t="shared" si="1"/>
        <v>24.378333333333334</v>
      </c>
      <c r="AH8">
        <f t="shared" si="1"/>
        <v>27.256363636363634</v>
      </c>
      <c r="AI8">
        <f t="shared" si="1"/>
        <v>32.433333333333337</v>
      </c>
      <c r="AJ8">
        <f t="shared" si="1"/>
        <v>36.049166666666665</v>
      </c>
      <c r="AK8">
        <f t="shared" si="1"/>
        <v>37.954999999999998</v>
      </c>
    </row>
    <row r="9" spans="2:37" x14ac:dyDescent="0.5">
      <c r="C9">
        <v>3</v>
      </c>
      <c r="D9">
        <v>6.41</v>
      </c>
      <c r="E9">
        <v>13.93</v>
      </c>
      <c r="F9">
        <v>18.079999999999998</v>
      </c>
      <c r="G9">
        <v>17.399999999999999</v>
      </c>
      <c r="H9">
        <v>15.27</v>
      </c>
      <c r="I9">
        <v>20.51</v>
      </c>
      <c r="J9">
        <v>27.42</v>
      </c>
      <c r="K9">
        <v>28.34</v>
      </c>
      <c r="L9">
        <v>30.21</v>
      </c>
    </row>
    <row r="10" spans="2:37" x14ac:dyDescent="0.5">
      <c r="C10">
        <v>2.88</v>
      </c>
      <c r="D10">
        <v>6.55</v>
      </c>
      <c r="E10">
        <v>14.4</v>
      </c>
      <c r="F10">
        <v>19.13</v>
      </c>
      <c r="G10">
        <v>18.100000000000001</v>
      </c>
      <c r="H10">
        <v>14.79</v>
      </c>
      <c r="I10">
        <v>22.16</v>
      </c>
      <c r="J10">
        <v>28.63</v>
      </c>
      <c r="K10">
        <v>32.06</v>
      </c>
      <c r="L10">
        <v>32.07</v>
      </c>
      <c r="AB10">
        <v>73</v>
      </c>
      <c r="AC10">
        <v>120</v>
      </c>
      <c r="AD10">
        <v>164</v>
      </c>
      <c r="AE10">
        <v>256</v>
      </c>
      <c r="AF10">
        <v>353</v>
      </c>
      <c r="AG10">
        <v>427</v>
      </c>
      <c r="AH10">
        <v>522</v>
      </c>
      <c r="AI10">
        <v>586</v>
      </c>
      <c r="AJ10">
        <v>638</v>
      </c>
      <c r="AK10">
        <v>705</v>
      </c>
    </row>
    <row r="11" spans="2:37" x14ac:dyDescent="0.5">
      <c r="C11">
        <v>2.61</v>
      </c>
      <c r="D11">
        <v>10.4</v>
      </c>
      <c r="E11">
        <v>15.01</v>
      </c>
      <c r="F11">
        <v>16.260000000000002</v>
      </c>
      <c r="G11">
        <v>17.37</v>
      </c>
      <c r="H11">
        <v>13.98</v>
      </c>
      <c r="I11">
        <v>21.27</v>
      </c>
      <c r="J11">
        <v>25.58</v>
      </c>
      <c r="K11">
        <v>28.54</v>
      </c>
      <c r="L11">
        <v>30.71</v>
      </c>
      <c r="AA11" t="s">
        <v>8</v>
      </c>
      <c r="AB11">
        <f>C21</f>
        <v>1.1472754561229925</v>
      </c>
      <c r="AC11">
        <f t="shared" ref="AC11:AK11" si="7">D21</f>
        <v>1.7098430669536617</v>
      </c>
      <c r="AD11">
        <f t="shared" si="7"/>
        <v>0.8822040714418854</v>
      </c>
      <c r="AE11">
        <f t="shared" si="7"/>
        <v>1.6669083158150135</v>
      </c>
      <c r="AF11">
        <f t="shared" si="7"/>
        <v>1.3071286917005025</v>
      </c>
      <c r="AG11">
        <f t="shared" si="7"/>
        <v>1.8899309217240936</v>
      </c>
      <c r="AH11">
        <f t="shared" si="7"/>
        <v>2.3973357607977914</v>
      </c>
      <c r="AI11">
        <f t="shared" si="7"/>
        <v>2.2272271936697927</v>
      </c>
      <c r="AJ11">
        <f t="shared" si="7"/>
        <v>1.8949992670769622</v>
      </c>
      <c r="AK11">
        <f t="shared" si="7"/>
        <v>2.0565336261669915</v>
      </c>
    </row>
    <row r="12" spans="2:37" x14ac:dyDescent="0.5">
      <c r="C12">
        <v>1.1000000000000001</v>
      </c>
      <c r="D12">
        <v>10.119999999999999</v>
      </c>
      <c r="E12">
        <v>12.91</v>
      </c>
      <c r="F12">
        <v>13.93</v>
      </c>
      <c r="G12">
        <v>15.4</v>
      </c>
      <c r="H12">
        <v>11.56</v>
      </c>
      <c r="I12">
        <v>17.940000000000001</v>
      </c>
      <c r="J12">
        <v>22.73</v>
      </c>
      <c r="K12">
        <v>25.33</v>
      </c>
      <c r="L12">
        <v>29.01</v>
      </c>
      <c r="AA12" t="s">
        <v>9</v>
      </c>
      <c r="AB12">
        <f>C43</f>
        <v>1.2909457665689241</v>
      </c>
      <c r="AC12">
        <f t="shared" ref="AC12:AK12" si="8">D43</f>
        <v>1.6758505303278226</v>
      </c>
      <c r="AD12">
        <f t="shared" si="8"/>
        <v>0.98876571486317644</v>
      </c>
      <c r="AE12">
        <f t="shared" si="8"/>
        <v>0.67326810471639187</v>
      </c>
      <c r="AF12">
        <f t="shared" si="8"/>
        <v>0.69982170102329699</v>
      </c>
      <c r="AG12">
        <f t="shared" si="8"/>
        <v>0.61013072708414862</v>
      </c>
      <c r="AH12">
        <f t="shared" si="8"/>
        <v>1.1545039362613601</v>
      </c>
      <c r="AI12">
        <f t="shared" si="8"/>
        <v>1.9206480387850575</v>
      </c>
      <c r="AJ12">
        <f t="shared" si="8"/>
        <v>1.0108175321655897</v>
      </c>
      <c r="AK12">
        <f t="shared" si="8"/>
        <v>1.4807422574965887</v>
      </c>
    </row>
    <row r="13" spans="2:37" x14ac:dyDescent="0.5">
      <c r="C13">
        <v>1.06</v>
      </c>
      <c r="D13">
        <v>5.27</v>
      </c>
      <c r="E13">
        <v>14.93</v>
      </c>
      <c r="F13">
        <v>13.53</v>
      </c>
      <c r="G13">
        <v>15.84</v>
      </c>
      <c r="H13">
        <v>10.050000000000001</v>
      </c>
      <c r="I13">
        <v>19.57</v>
      </c>
      <c r="J13">
        <v>25.36</v>
      </c>
      <c r="K13">
        <v>26.49</v>
      </c>
      <c r="L13">
        <v>27</v>
      </c>
      <c r="AA13" t="s">
        <v>10</v>
      </c>
      <c r="AB13">
        <f>C65</f>
        <v>2.5303530169785708</v>
      </c>
      <c r="AC13">
        <f t="shared" ref="AC13:AK13" si="9">D65</f>
        <v>1.4525387258176627</v>
      </c>
      <c r="AD13">
        <f t="shared" si="9"/>
        <v>0.86007105649604487</v>
      </c>
      <c r="AE13">
        <f t="shared" si="9"/>
        <v>0.88770733102501498</v>
      </c>
      <c r="AF13">
        <f t="shared" si="9"/>
        <v>0.63568860301251273</v>
      </c>
      <c r="AG13">
        <f t="shared" si="9"/>
        <v>0.4895334260360692</v>
      </c>
      <c r="AH13">
        <f t="shared" si="9"/>
        <v>1.772196657184393</v>
      </c>
      <c r="AI13">
        <f t="shared" si="9"/>
        <v>0.95011352083808331</v>
      </c>
      <c r="AJ13">
        <f t="shared" si="9"/>
        <v>1.5934774074124445</v>
      </c>
      <c r="AK13">
        <f t="shared" si="9"/>
        <v>1.0549129453722947</v>
      </c>
    </row>
    <row r="14" spans="2:37" x14ac:dyDescent="0.5">
      <c r="C14">
        <v>0.93</v>
      </c>
      <c r="D14">
        <v>5.32</v>
      </c>
      <c r="E14">
        <v>14.19</v>
      </c>
      <c r="F14">
        <v>14.11</v>
      </c>
      <c r="G14">
        <v>15.71</v>
      </c>
      <c r="H14">
        <v>12.07</v>
      </c>
      <c r="I14">
        <v>19.14</v>
      </c>
      <c r="J14">
        <v>26.28</v>
      </c>
      <c r="K14">
        <v>28.32</v>
      </c>
      <c r="L14">
        <v>29.6</v>
      </c>
      <c r="AA14" t="s">
        <v>11</v>
      </c>
      <c r="AB14">
        <f>C86</f>
        <v>1.9617676293090918</v>
      </c>
      <c r="AC14">
        <f t="shared" ref="AC14:AK14" si="10">D86</f>
        <v>0.89028456774800235</v>
      </c>
      <c r="AD14">
        <f t="shared" si="10"/>
        <v>0.97947869420253064</v>
      </c>
      <c r="AE14">
        <f t="shared" si="10"/>
        <v>0.94744981768154557</v>
      </c>
      <c r="AF14">
        <f t="shared" si="10"/>
        <v>1.3068927251466826</v>
      </c>
      <c r="AG14">
        <f t="shared" si="10"/>
        <v>0.85299569336108794</v>
      </c>
      <c r="AH14">
        <f t="shared" si="10"/>
        <v>0.82469227919988475</v>
      </c>
      <c r="AI14">
        <f t="shared" si="10"/>
        <v>0.96208880880771996</v>
      </c>
      <c r="AJ14">
        <f t="shared" si="10"/>
        <v>1.0441351358029196</v>
      </c>
      <c r="AK14">
        <f t="shared" si="10"/>
        <v>1.6641180513680178</v>
      </c>
    </row>
    <row r="15" spans="2:37" x14ac:dyDescent="0.5">
      <c r="C15">
        <v>0.98</v>
      </c>
      <c r="D15">
        <v>5.6</v>
      </c>
      <c r="E15">
        <v>14</v>
      </c>
      <c r="F15">
        <v>14.77</v>
      </c>
      <c r="G15">
        <v>16.11</v>
      </c>
      <c r="H15">
        <v>11.69</v>
      </c>
      <c r="I15">
        <v>19.57</v>
      </c>
      <c r="J15">
        <v>23.69</v>
      </c>
      <c r="K15">
        <v>27.16</v>
      </c>
      <c r="L15">
        <v>29.06</v>
      </c>
      <c r="AA15" t="s">
        <v>12</v>
      </c>
      <c r="AB15">
        <f>C107</f>
        <v>3.5744989824039126</v>
      </c>
      <c r="AC15">
        <f t="shared" ref="AC15:AK15" si="11">D107</f>
        <v>2.7500118181564162</v>
      </c>
      <c r="AD15">
        <f t="shared" si="11"/>
        <v>1.3944067727653517</v>
      </c>
      <c r="AE15">
        <f t="shared" si="11"/>
        <v>1.5071632201663574</v>
      </c>
      <c r="AF15">
        <f t="shared" si="11"/>
        <v>0.89259395412592257</v>
      </c>
      <c r="AG15">
        <f t="shared" si="11"/>
        <v>2.2773736091286252</v>
      </c>
      <c r="AH15">
        <f t="shared" si="11"/>
        <v>1.6290056795886967</v>
      </c>
      <c r="AI15">
        <f t="shared" si="11"/>
        <v>2.716653374200622</v>
      </c>
      <c r="AJ15">
        <f t="shared" si="11"/>
        <v>2.8451580457955843</v>
      </c>
      <c r="AK15">
        <f t="shared" si="11"/>
        <v>2.5442893572338301</v>
      </c>
    </row>
    <row r="16" spans="2:37" x14ac:dyDescent="0.5">
      <c r="C16">
        <v>1.1000000000000001</v>
      </c>
      <c r="D16">
        <v>5.5</v>
      </c>
      <c r="E16">
        <v>14.98</v>
      </c>
      <c r="F16">
        <v>15.23</v>
      </c>
      <c r="G16">
        <v>15.95</v>
      </c>
      <c r="H16">
        <v>10.54</v>
      </c>
      <c r="I16">
        <v>20.5</v>
      </c>
      <c r="J16">
        <v>26.28</v>
      </c>
      <c r="K16">
        <v>25.76</v>
      </c>
      <c r="L16">
        <v>28.68</v>
      </c>
    </row>
    <row r="17" spans="2:25" x14ac:dyDescent="0.5">
      <c r="D17">
        <v>6.48</v>
      </c>
      <c r="E17">
        <v>15.51</v>
      </c>
    </row>
    <row r="18" spans="2:25" x14ac:dyDescent="0.5">
      <c r="O18" t="s">
        <v>8</v>
      </c>
      <c r="P18">
        <f>P4-$P$4</f>
        <v>0</v>
      </c>
      <c r="Q18">
        <f>Q4-$Q$4</f>
        <v>0</v>
      </c>
      <c r="R18">
        <f>R4-$R$4</f>
        <v>0</v>
      </c>
      <c r="S18">
        <f>S4-$S$4</f>
        <v>0</v>
      </c>
      <c r="T18">
        <f>T4-$T$4</f>
        <v>0</v>
      </c>
      <c r="U18">
        <f>U4-$U$4</f>
        <v>0</v>
      </c>
      <c r="V18">
        <f>V4-$V$4</f>
        <v>0</v>
      </c>
      <c r="W18">
        <f>W4-$W$4</f>
        <v>0</v>
      </c>
      <c r="X18">
        <f>X4-$X$4</f>
        <v>0</v>
      </c>
      <c r="Y18">
        <f>Y4-$Y$4</f>
        <v>0</v>
      </c>
    </row>
    <row r="19" spans="2:25" x14ac:dyDescent="0.5">
      <c r="C19">
        <f>AVERAGE(C5:C17)</f>
        <v>2.3008333333333333</v>
      </c>
      <c r="D19">
        <f t="shared" ref="D19:L19" si="12">AVERAGE(D5:D17)</f>
        <v>7.0753846153846132</v>
      </c>
      <c r="E19">
        <f t="shared" si="12"/>
        <v>14.559230769230767</v>
      </c>
      <c r="F19">
        <f t="shared" si="12"/>
        <v>15.910000000000002</v>
      </c>
      <c r="G19">
        <f t="shared" si="12"/>
        <v>17.102500000000003</v>
      </c>
      <c r="H19">
        <f t="shared" si="12"/>
        <v>13.193333333333333</v>
      </c>
      <c r="I19">
        <f t="shared" si="12"/>
        <v>21.217500000000001</v>
      </c>
      <c r="J19">
        <f t="shared" si="12"/>
        <v>26.410833333333329</v>
      </c>
      <c r="K19">
        <f t="shared" si="12"/>
        <v>28.053333333333331</v>
      </c>
      <c r="L19">
        <f t="shared" si="12"/>
        <v>30.681666666666672</v>
      </c>
      <c r="O19" t="s">
        <v>9</v>
      </c>
      <c r="P19">
        <f>P5-$P$4</f>
        <v>1.7783333333333333</v>
      </c>
      <c r="Q19">
        <f>Q5-$Q$4</f>
        <v>6.7496153846153844</v>
      </c>
      <c r="R19">
        <f>R5-$R$4</f>
        <v>5.6099358974359017</v>
      </c>
      <c r="S19">
        <f>S5-$S$4</f>
        <v>5.0284615384615368</v>
      </c>
      <c r="T19">
        <f>T5-$T$4</f>
        <v>4.4438636363636341</v>
      </c>
      <c r="U19">
        <f>U5-$U$4</f>
        <v>1.6430303030303008</v>
      </c>
      <c r="V19">
        <f>V5-$V$4</f>
        <v>-0.29295454545454547</v>
      </c>
      <c r="W19">
        <f>W5-$W$4</f>
        <v>-0.50416666666666288</v>
      </c>
      <c r="X19">
        <f>X5-$X$4</f>
        <v>0.59916666666667595</v>
      </c>
      <c r="Y19">
        <f>Y5-$Y$4</f>
        <v>1.3867948717948622</v>
      </c>
    </row>
    <row r="20" spans="2:25" x14ac:dyDescent="0.5">
      <c r="C20">
        <f>C19</f>
        <v>2.3008333333333333</v>
      </c>
      <c r="D20">
        <f t="shared" ref="D20:G20" si="13">D19</f>
        <v>7.0753846153846132</v>
      </c>
      <c r="E20">
        <f t="shared" si="13"/>
        <v>14.559230769230767</v>
      </c>
      <c r="F20">
        <f t="shared" si="13"/>
        <v>15.910000000000002</v>
      </c>
      <c r="G20">
        <f t="shared" si="13"/>
        <v>17.102500000000003</v>
      </c>
      <c r="H20">
        <f>H19+8</f>
        <v>21.193333333333335</v>
      </c>
      <c r="I20">
        <f t="shared" ref="I20:L20" si="14">I19+8</f>
        <v>29.217500000000001</v>
      </c>
      <c r="J20">
        <f t="shared" si="14"/>
        <v>34.410833333333329</v>
      </c>
      <c r="K20">
        <f t="shared" si="14"/>
        <v>36.053333333333327</v>
      </c>
      <c r="L20">
        <f t="shared" si="14"/>
        <v>38.681666666666672</v>
      </c>
      <c r="O20" t="s">
        <v>10</v>
      </c>
      <c r="P20">
        <f>P6-$P$4</f>
        <v>6.7137820512820507</v>
      </c>
      <c r="Q20">
        <f>Q6-$Q$4</f>
        <v>13.952115384615386</v>
      </c>
      <c r="R20">
        <f>R6-$R$4</f>
        <v>11.28410256410257</v>
      </c>
      <c r="S20">
        <f>S6-$S$4</f>
        <v>9.7308333333333348</v>
      </c>
      <c r="T20">
        <f>T6-$T$4</f>
        <v>8.7774999999999999</v>
      </c>
      <c r="U20">
        <f>U6-$U$4</f>
        <v>4.3512121212121215</v>
      </c>
      <c r="V20">
        <f>V6-$V$4</f>
        <v>-0.36840909090909335</v>
      </c>
      <c r="W20">
        <f>W6-$W$4</f>
        <v>-1.0962878787878765</v>
      </c>
      <c r="X20">
        <f>X6-$X$4</f>
        <v>1.4021212121212159</v>
      </c>
      <c r="Y20">
        <f>Y6-$Y$4</f>
        <v>3.4696969696966562E-2</v>
      </c>
    </row>
    <row r="21" spans="2:25" x14ac:dyDescent="0.5">
      <c r="C21">
        <f t="shared" ref="C21:L21" si="15">_xlfn.STDEV.P(C5:C17)</f>
        <v>1.1472754561229925</v>
      </c>
      <c r="D21">
        <f t="shared" si="15"/>
        <v>1.7098430669536617</v>
      </c>
      <c r="E21">
        <f t="shared" si="15"/>
        <v>0.8822040714418854</v>
      </c>
      <c r="F21">
        <f t="shared" si="15"/>
        <v>1.6669083158150135</v>
      </c>
      <c r="G21">
        <f t="shared" si="15"/>
        <v>1.3071286917005025</v>
      </c>
      <c r="H21">
        <f t="shared" si="15"/>
        <v>1.8899309217240936</v>
      </c>
      <c r="I21">
        <f t="shared" si="15"/>
        <v>2.3973357607977914</v>
      </c>
      <c r="J21">
        <f t="shared" si="15"/>
        <v>2.2272271936697927</v>
      </c>
      <c r="K21">
        <f t="shared" si="15"/>
        <v>1.8949992670769622</v>
      </c>
      <c r="L21">
        <f t="shared" si="15"/>
        <v>2.0565336261669915</v>
      </c>
      <c r="O21" t="s">
        <v>11</v>
      </c>
      <c r="P21">
        <f>P7-$P$4</f>
        <v>10.942803030303029</v>
      </c>
      <c r="Q21">
        <f>Q7-$Q$4</f>
        <v>15.330069930069932</v>
      </c>
      <c r="R21">
        <f>R7-$R$4</f>
        <v>12.078951048951049</v>
      </c>
      <c r="S21">
        <f>S7-$S$4</f>
        <v>10.404545454545451</v>
      </c>
      <c r="T21">
        <f>T7-$T$4</f>
        <v>8.4538636363636286</v>
      </c>
      <c r="U21">
        <f>U7-$U$4</f>
        <v>4.7093939393939372</v>
      </c>
      <c r="V21">
        <f>V7-$V$4</f>
        <v>-0.60840909090909179</v>
      </c>
      <c r="W21">
        <f>W7-$W$4</f>
        <v>-1.4590151515151462</v>
      </c>
      <c r="X21">
        <f>X7-$X$4</f>
        <v>0.33666666666668021</v>
      </c>
      <c r="Y21">
        <f>Y7-$Y$4</f>
        <v>0.59499999999999886</v>
      </c>
    </row>
    <row r="22" spans="2:25" x14ac:dyDescent="0.5">
      <c r="O22" t="s">
        <v>12</v>
      </c>
      <c r="P22">
        <f>P8-$P$4</f>
        <v>9.7846212121212126</v>
      </c>
      <c r="Q22">
        <f>Q8-$Q$4</f>
        <v>12.739615384615387</v>
      </c>
      <c r="R22">
        <f>R8-$R$4</f>
        <v>10.516223776223777</v>
      </c>
      <c r="S22">
        <f>S8-$S$4</f>
        <v>7.8741666666666621</v>
      </c>
      <c r="T22">
        <f>T8-$T$4</f>
        <v>7.735681818181817</v>
      </c>
      <c r="U22">
        <f>U8-$U$4</f>
        <v>3.1849999999999987</v>
      </c>
      <c r="V22">
        <f>V8-$V$4</f>
        <v>-1.961136363636367</v>
      </c>
      <c r="W22">
        <f>W8-$W$4</f>
        <v>-1.977499999999992</v>
      </c>
      <c r="X22">
        <f>X8-$X$4</f>
        <v>-4.1666666666628771E-3</v>
      </c>
      <c r="Y22">
        <f>Y8-$Y$4</f>
        <v>-0.72666666666667368</v>
      </c>
    </row>
    <row r="23" spans="2:25" x14ac:dyDescent="0.5">
      <c r="B23" s="5" t="s">
        <v>4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25" x14ac:dyDescent="0.5">
      <c r="B24" t="s">
        <v>1</v>
      </c>
      <c r="C24">
        <v>74</v>
      </c>
      <c r="D24">
        <v>69</v>
      </c>
      <c r="E24">
        <v>62</v>
      </c>
      <c r="F24">
        <v>57</v>
      </c>
      <c r="G24">
        <v>53</v>
      </c>
      <c r="H24">
        <v>50</v>
      </c>
      <c r="I24">
        <v>47</v>
      </c>
      <c r="J24">
        <v>45</v>
      </c>
      <c r="K24">
        <v>43</v>
      </c>
      <c r="L24">
        <v>41</v>
      </c>
    </row>
    <row r="25" spans="2:25" x14ac:dyDescent="0.5">
      <c r="B25" t="s">
        <v>2</v>
      </c>
      <c r="C25">
        <v>73</v>
      </c>
      <c r="D25">
        <v>120</v>
      </c>
      <c r="E25">
        <v>164</v>
      </c>
      <c r="F25">
        <v>256</v>
      </c>
      <c r="G25">
        <v>353</v>
      </c>
      <c r="H25">
        <v>427</v>
      </c>
      <c r="I25">
        <v>522</v>
      </c>
      <c r="J25">
        <v>586</v>
      </c>
      <c r="K25">
        <v>638</v>
      </c>
      <c r="L25">
        <v>705</v>
      </c>
    </row>
    <row r="26" spans="2:25" x14ac:dyDescent="0.5">
      <c r="B26" t="s">
        <v>3</v>
      </c>
      <c r="C26">
        <v>3</v>
      </c>
      <c r="D26">
        <v>4</v>
      </c>
      <c r="E26">
        <v>6</v>
      </c>
      <c r="F26">
        <v>8</v>
      </c>
      <c r="G26">
        <v>10</v>
      </c>
      <c r="H26">
        <v>12</v>
      </c>
      <c r="I26">
        <v>14</v>
      </c>
      <c r="J26">
        <v>16</v>
      </c>
      <c r="K26">
        <v>18</v>
      </c>
      <c r="L26">
        <v>20</v>
      </c>
      <c r="O26">
        <v>0</v>
      </c>
    </row>
    <row r="27" spans="2:25" x14ac:dyDescent="0.5">
      <c r="C27">
        <v>6.88</v>
      </c>
      <c r="D27">
        <v>15.2</v>
      </c>
      <c r="E27">
        <v>21.9</v>
      </c>
      <c r="F27">
        <v>21.92</v>
      </c>
      <c r="G27">
        <v>22.2</v>
      </c>
      <c r="H27">
        <v>15.48</v>
      </c>
      <c r="I27">
        <v>19.32</v>
      </c>
      <c r="J27">
        <v>28.48</v>
      </c>
      <c r="K27">
        <v>30.27</v>
      </c>
      <c r="L27">
        <v>34.31</v>
      </c>
      <c r="O27">
        <v>20</v>
      </c>
    </row>
    <row r="28" spans="2:25" x14ac:dyDescent="0.5">
      <c r="C28">
        <v>5.46</v>
      </c>
      <c r="D28">
        <v>13.42</v>
      </c>
      <c r="E28">
        <v>21.11</v>
      </c>
      <c r="F28">
        <v>21.73</v>
      </c>
      <c r="G28">
        <v>21.16</v>
      </c>
      <c r="H28">
        <v>13.85</v>
      </c>
      <c r="I28">
        <v>20.82</v>
      </c>
      <c r="J28">
        <v>26.1</v>
      </c>
      <c r="K28">
        <v>27.69</v>
      </c>
      <c r="L28">
        <v>30.3</v>
      </c>
      <c r="O28">
        <v>40</v>
      </c>
    </row>
    <row r="29" spans="2:25" x14ac:dyDescent="0.5">
      <c r="C29">
        <v>4.37</v>
      </c>
      <c r="D29">
        <v>13.26</v>
      </c>
      <c r="E29">
        <v>18.36</v>
      </c>
      <c r="F29">
        <v>20.47</v>
      </c>
      <c r="G29">
        <v>21.67</v>
      </c>
      <c r="H29">
        <v>13.9</v>
      </c>
      <c r="I29">
        <v>20.64</v>
      </c>
      <c r="J29">
        <v>26.23</v>
      </c>
      <c r="K29">
        <v>28.8</v>
      </c>
      <c r="L29">
        <v>31.56</v>
      </c>
      <c r="O29">
        <v>60</v>
      </c>
    </row>
    <row r="30" spans="2:25" x14ac:dyDescent="0.5">
      <c r="C30">
        <v>4.3600000000000003</v>
      </c>
      <c r="D30">
        <v>14.62</v>
      </c>
      <c r="E30">
        <v>19.03</v>
      </c>
      <c r="F30">
        <v>19.55</v>
      </c>
      <c r="G30">
        <v>22.44</v>
      </c>
      <c r="H30">
        <v>15.14</v>
      </c>
      <c r="I30">
        <v>19.600000000000001</v>
      </c>
      <c r="J30">
        <v>23.84</v>
      </c>
      <c r="K30">
        <v>28.09</v>
      </c>
      <c r="L30">
        <v>31.09</v>
      </c>
      <c r="O30">
        <v>80</v>
      </c>
    </row>
    <row r="31" spans="2:25" x14ac:dyDescent="0.5">
      <c r="C31">
        <v>4.16</v>
      </c>
      <c r="D31">
        <v>14.67</v>
      </c>
      <c r="E31">
        <v>20.309999999999999</v>
      </c>
      <c r="F31">
        <v>21.73</v>
      </c>
      <c r="G31">
        <v>22.53</v>
      </c>
      <c r="H31">
        <v>15.13</v>
      </c>
      <c r="I31">
        <v>19.8</v>
      </c>
      <c r="J31">
        <v>21.17</v>
      </c>
      <c r="K31">
        <v>28.86</v>
      </c>
      <c r="L31">
        <v>31.91</v>
      </c>
    </row>
    <row r="32" spans="2:25" x14ac:dyDescent="0.5">
      <c r="C32">
        <v>4.0199999999999996</v>
      </c>
      <c r="D32">
        <v>9.0399999999999991</v>
      </c>
      <c r="E32">
        <v>20.51</v>
      </c>
      <c r="F32">
        <v>21.66</v>
      </c>
      <c r="G32">
        <v>22.5</v>
      </c>
      <c r="H32">
        <v>14.59</v>
      </c>
      <c r="I32">
        <v>20.010000000000002</v>
      </c>
      <c r="J32">
        <v>26.41</v>
      </c>
      <c r="K32">
        <v>27.87</v>
      </c>
      <c r="L32">
        <v>33.29</v>
      </c>
    </row>
    <row r="33" spans="2:12" x14ac:dyDescent="0.5">
      <c r="C33">
        <v>5.53</v>
      </c>
      <c r="D33">
        <v>15.67</v>
      </c>
      <c r="E33">
        <v>21.58</v>
      </c>
      <c r="F33">
        <v>21.13</v>
      </c>
      <c r="G33">
        <v>21.02</v>
      </c>
      <c r="H33">
        <v>15.88</v>
      </c>
      <c r="I33">
        <v>21.4</v>
      </c>
      <c r="J33">
        <v>26.01</v>
      </c>
      <c r="K33">
        <v>30.64</v>
      </c>
      <c r="L33">
        <v>33.4</v>
      </c>
    </row>
    <row r="34" spans="2:12" x14ac:dyDescent="0.5">
      <c r="C34">
        <v>2.69</v>
      </c>
      <c r="D34">
        <v>12.76</v>
      </c>
      <c r="E34">
        <v>20.440000000000001</v>
      </c>
      <c r="F34">
        <v>20.78</v>
      </c>
      <c r="G34">
        <v>20.76</v>
      </c>
      <c r="H34">
        <v>14.37</v>
      </c>
      <c r="I34">
        <v>23.03</v>
      </c>
      <c r="J34">
        <v>26.64</v>
      </c>
      <c r="K34">
        <v>28.3</v>
      </c>
      <c r="L34">
        <v>29.38</v>
      </c>
    </row>
    <row r="35" spans="2:12" x14ac:dyDescent="0.5">
      <c r="C35">
        <v>3.01</v>
      </c>
      <c r="D35">
        <v>14.04</v>
      </c>
      <c r="E35">
        <v>19.739999999999998</v>
      </c>
      <c r="F35">
        <v>20.99</v>
      </c>
      <c r="G35">
        <v>20.95</v>
      </c>
      <c r="H35">
        <v>15.33</v>
      </c>
      <c r="I35">
        <v>21.17</v>
      </c>
      <c r="J35">
        <v>25.78</v>
      </c>
      <c r="K35">
        <v>27.7</v>
      </c>
      <c r="L35">
        <v>33.86</v>
      </c>
    </row>
    <row r="36" spans="2:12" x14ac:dyDescent="0.5">
      <c r="C36">
        <v>3.09</v>
      </c>
      <c r="D36">
        <v>14.21</v>
      </c>
      <c r="E36">
        <v>19.78</v>
      </c>
      <c r="F36">
        <v>20.53</v>
      </c>
      <c r="G36">
        <v>20.83</v>
      </c>
      <c r="H36">
        <v>14.89</v>
      </c>
      <c r="I36">
        <v>22.52</v>
      </c>
      <c r="J36">
        <v>25.82</v>
      </c>
      <c r="K36">
        <v>27.68</v>
      </c>
      <c r="L36">
        <v>33.909999999999997</v>
      </c>
    </row>
    <row r="37" spans="2:12" x14ac:dyDescent="0.5">
      <c r="C37">
        <v>2.86</v>
      </c>
      <c r="D37">
        <v>15.35</v>
      </c>
      <c r="E37">
        <v>19.34</v>
      </c>
      <c r="F37">
        <v>20.14</v>
      </c>
      <c r="G37">
        <v>20.95</v>
      </c>
      <c r="H37">
        <v>14.64</v>
      </c>
      <c r="I37">
        <v>21.86</v>
      </c>
      <c r="J37">
        <v>29.02</v>
      </c>
      <c r="K37">
        <v>29.86</v>
      </c>
      <c r="L37">
        <v>31.66</v>
      </c>
    </row>
    <row r="38" spans="2:12" x14ac:dyDescent="0.5">
      <c r="C38">
        <v>2.52</v>
      </c>
      <c r="D38">
        <v>13.66</v>
      </c>
      <c r="E38">
        <v>19.93</v>
      </c>
      <c r="F38">
        <v>20.57</v>
      </c>
      <c r="J38">
        <v>25.38</v>
      </c>
      <c r="K38">
        <v>28.07</v>
      </c>
      <c r="L38">
        <v>31.19</v>
      </c>
    </row>
    <row r="39" spans="2:12" x14ac:dyDescent="0.5">
      <c r="F39">
        <v>21</v>
      </c>
      <c r="L39">
        <v>31.03</v>
      </c>
    </row>
    <row r="41" spans="2:12" x14ac:dyDescent="0.5">
      <c r="C41">
        <f>AVERAGE(C27:C39)</f>
        <v>4.0791666666666666</v>
      </c>
      <c r="D41">
        <f t="shared" ref="D41:L41" si="16">AVERAGE(D27:D39)</f>
        <v>13.824999999999998</v>
      </c>
      <c r="E41">
        <f t="shared" si="16"/>
        <v>20.169166666666669</v>
      </c>
      <c r="F41">
        <f t="shared" si="16"/>
        <v>20.938461538461539</v>
      </c>
      <c r="G41">
        <f t="shared" si="16"/>
        <v>21.546363636363637</v>
      </c>
      <c r="H41">
        <f t="shared" si="16"/>
        <v>14.836363636363636</v>
      </c>
      <c r="I41">
        <f t="shared" si="16"/>
        <v>20.924545454545456</v>
      </c>
      <c r="J41">
        <f t="shared" si="16"/>
        <v>25.906666666666666</v>
      </c>
      <c r="K41">
        <f t="shared" si="16"/>
        <v>28.652500000000003</v>
      </c>
      <c r="L41">
        <f t="shared" si="16"/>
        <v>32.068461538461534</v>
      </c>
    </row>
    <row r="42" spans="2:12" x14ac:dyDescent="0.5">
      <c r="C42">
        <f>C41</f>
        <v>4.0791666666666666</v>
      </c>
      <c r="D42">
        <f t="shared" ref="D42:G42" si="17">D41</f>
        <v>13.824999999999998</v>
      </c>
      <c r="E42">
        <f t="shared" si="17"/>
        <v>20.169166666666669</v>
      </c>
      <c r="F42">
        <f t="shared" si="17"/>
        <v>20.938461538461539</v>
      </c>
      <c r="G42">
        <f t="shared" si="17"/>
        <v>21.546363636363637</v>
      </c>
      <c r="H42">
        <f>H41+8</f>
        <v>22.836363636363636</v>
      </c>
      <c r="I42">
        <f t="shared" ref="I42:L42" si="18">I41+8</f>
        <v>28.924545454545456</v>
      </c>
      <c r="J42">
        <f t="shared" si="18"/>
        <v>33.906666666666666</v>
      </c>
      <c r="K42">
        <f t="shared" si="18"/>
        <v>36.652500000000003</v>
      </c>
      <c r="L42">
        <f t="shared" si="18"/>
        <v>40.068461538461534</v>
      </c>
    </row>
    <row r="43" spans="2:12" x14ac:dyDescent="0.5">
      <c r="C43">
        <f>_xlfn.STDEV.P(C27:C39)</f>
        <v>1.2909457665689241</v>
      </c>
      <c r="D43">
        <f t="shared" ref="D43:L43" si="19">_xlfn.STDEV.P(D27:D39)</f>
        <v>1.6758505303278226</v>
      </c>
      <c r="E43">
        <f t="shared" si="19"/>
        <v>0.98876571486317644</v>
      </c>
      <c r="F43">
        <f t="shared" si="19"/>
        <v>0.67326810471639187</v>
      </c>
      <c r="G43">
        <f t="shared" si="19"/>
        <v>0.69982170102329699</v>
      </c>
      <c r="H43">
        <f t="shared" si="19"/>
        <v>0.61013072708414862</v>
      </c>
      <c r="I43">
        <f t="shared" si="19"/>
        <v>1.1545039362613601</v>
      </c>
      <c r="J43">
        <f t="shared" si="19"/>
        <v>1.9206480387850575</v>
      </c>
      <c r="K43">
        <f t="shared" si="19"/>
        <v>1.0108175321655897</v>
      </c>
      <c r="L43">
        <f t="shared" si="19"/>
        <v>1.4807422574965887</v>
      </c>
    </row>
    <row r="45" spans="2:12" x14ac:dyDescent="0.5">
      <c r="B45" s="5" t="s">
        <v>5</v>
      </c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2:12" x14ac:dyDescent="0.5">
      <c r="B46" t="s">
        <v>1</v>
      </c>
      <c r="C46">
        <v>74</v>
      </c>
      <c r="D46">
        <v>69</v>
      </c>
      <c r="E46">
        <v>62</v>
      </c>
      <c r="F46">
        <v>57</v>
      </c>
      <c r="G46">
        <v>53</v>
      </c>
      <c r="H46">
        <v>50</v>
      </c>
      <c r="I46">
        <v>47</v>
      </c>
      <c r="J46">
        <v>45</v>
      </c>
      <c r="K46">
        <v>43</v>
      </c>
      <c r="L46">
        <v>41</v>
      </c>
    </row>
    <row r="47" spans="2:12" x14ac:dyDescent="0.5">
      <c r="B47" t="s">
        <v>2</v>
      </c>
      <c r="C47">
        <v>73</v>
      </c>
      <c r="D47">
        <v>120</v>
      </c>
      <c r="E47">
        <v>164</v>
      </c>
      <c r="F47">
        <v>256</v>
      </c>
      <c r="G47">
        <v>353</v>
      </c>
      <c r="H47">
        <v>427</v>
      </c>
      <c r="I47">
        <v>522</v>
      </c>
      <c r="J47">
        <v>586</v>
      </c>
      <c r="K47">
        <v>638</v>
      </c>
      <c r="L47">
        <v>705</v>
      </c>
    </row>
    <row r="48" spans="2:12" x14ac:dyDescent="0.5">
      <c r="B48" t="s">
        <v>3</v>
      </c>
      <c r="C48">
        <v>3</v>
      </c>
      <c r="D48">
        <v>4</v>
      </c>
      <c r="E48">
        <v>6</v>
      </c>
      <c r="F48">
        <v>8</v>
      </c>
      <c r="G48">
        <v>10</v>
      </c>
      <c r="H48">
        <v>12</v>
      </c>
      <c r="I48">
        <v>14</v>
      </c>
      <c r="J48">
        <v>16</v>
      </c>
      <c r="K48">
        <v>18</v>
      </c>
      <c r="L48">
        <v>20</v>
      </c>
    </row>
    <row r="49" spans="3:12" x14ac:dyDescent="0.5">
      <c r="C49">
        <v>13.16</v>
      </c>
      <c r="D49">
        <v>23.05</v>
      </c>
      <c r="E49">
        <v>27.59</v>
      </c>
      <c r="F49">
        <v>27.67</v>
      </c>
      <c r="G49">
        <v>27.55</v>
      </c>
      <c r="H49">
        <v>17.45</v>
      </c>
      <c r="I49">
        <v>21.19</v>
      </c>
      <c r="J49">
        <v>25.04</v>
      </c>
      <c r="K49">
        <v>31.37</v>
      </c>
      <c r="L49">
        <v>31.7</v>
      </c>
    </row>
    <row r="50" spans="3:12" x14ac:dyDescent="0.5">
      <c r="C50">
        <v>11.78</v>
      </c>
      <c r="D50">
        <v>20.420000000000002</v>
      </c>
      <c r="E50">
        <v>24.86</v>
      </c>
      <c r="F50">
        <v>25.96</v>
      </c>
      <c r="G50">
        <v>26.52</v>
      </c>
      <c r="H50">
        <v>16.77</v>
      </c>
      <c r="I50">
        <v>18.54</v>
      </c>
      <c r="J50">
        <v>24.07</v>
      </c>
      <c r="K50">
        <v>27.15</v>
      </c>
      <c r="L50">
        <v>29.48</v>
      </c>
    </row>
    <row r="51" spans="3:12" x14ac:dyDescent="0.5">
      <c r="C51">
        <v>7.15</v>
      </c>
      <c r="D51">
        <v>17.350000000000001</v>
      </c>
      <c r="E51">
        <v>23.99</v>
      </c>
      <c r="F51">
        <v>26.61</v>
      </c>
      <c r="G51">
        <v>25.48</v>
      </c>
      <c r="H51">
        <v>16.98</v>
      </c>
      <c r="I51">
        <v>18.649999999999999</v>
      </c>
      <c r="J51">
        <v>24.31</v>
      </c>
      <c r="K51">
        <v>28.49</v>
      </c>
      <c r="L51">
        <v>29.36</v>
      </c>
    </row>
    <row r="52" spans="3:12" x14ac:dyDescent="0.5">
      <c r="C52">
        <v>5.74</v>
      </c>
      <c r="D52">
        <v>20.28</v>
      </c>
      <c r="E52">
        <v>25.35</v>
      </c>
      <c r="F52">
        <v>25.28</v>
      </c>
      <c r="G52">
        <v>25.5</v>
      </c>
      <c r="H52">
        <v>17.22</v>
      </c>
      <c r="I52">
        <v>18.3</v>
      </c>
      <c r="J52">
        <v>25.75</v>
      </c>
      <c r="K52">
        <v>30.35</v>
      </c>
      <c r="L52">
        <v>30.9</v>
      </c>
    </row>
    <row r="53" spans="3:12" x14ac:dyDescent="0.5">
      <c r="C53">
        <v>4.67</v>
      </c>
      <c r="D53">
        <v>21.76</v>
      </c>
      <c r="E53">
        <v>25.65</v>
      </c>
      <c r="F53">
        <v>25.93</v>
      </c>
      <c r="G53">
        <v>25.48</v>
      </c>
      <c r="H53">
        <v>17.63</v>
      </c>
      <c r="I53">
        <v>20.14</v>
      </c>
      <c r="J53">
        <v>26.14</v>
      </c>
      <c r="K53">
        <v>31.06</v>
      </c>
      <c r="L53">
        <v>29.84</v>
      </c>
    </row>
    <row r="54" spans="3:12" x14ac:dyDescent="0.5">
      <c r="C54">
        <v>7.24</v>
      </c>
      <c r="D54">
        <v>20.18</v>
      </c>
      <c r="E54">
        <v>26.1</v>
      </c>
      <c r="F54">
        <v>26.47</v>
      </c>
      <c r="G54">
        <v>25.84</v>
      </c>
      <c r="H54">
        <v>17.41</v>
      </c>
      <c r="I54">
        <v>22.76</v>
      </c>
      <c r="J54">
        <v>25.94</v>
      </c>
      <c r="K54">
        <v>31.88</v>
      </c>
      <c r="L54">
        <v>32.200000000000003</v>
      </c>
    </row>
    <row r="55" spans="3:12" x14ac:dyDescent="0.5">
      <c r="C55">
        <v>10.79</v>
      </c>
      <c r="D55">
        <v>23.13</v>
      </c>
      <c r="E55">
        <v>26.77</v>
      </c>
      <c r="F55">
        <v>25.64</v>
      </c>
      <c r="G55">
        <v>25.44</v>
      </c>
      <c r="H55">
        <v>17.12</v>
      </c>
      <c r="I55">
        <v>21.72</v>
      </c>
      <c r="J55">
        <v>23.91</v>
      </c>
      <c r="K55">
        <v>29.52</v>
      </c>
      <c r="L55">
        <v>31.9</v>
      </c>
    </row>
    <row r="56" spans="3:12" x14ac:dyDescent="0.5">
      <c r="C56">
        <v>9.83</v>
      </c>
      <c r="D56">
        <v>21.7</v>
      </c>
      <c r="E56">
        <v>25.91</v>
      </c>
      <c r="F56">
        <v>24.82</v>
      </c>
      <c r="G56">
        <v>25.81</v>
      </c>
      <c r="H56">
        <v>17.77</v>
      </c>
      <c r="I56">
        <v>19.96</v>
      </c>
      <c r="J56">
        <v>26.4</v>
      </c>
      <c r="K56">
        <v>26.73</v>
      </c>
      <c r="L56">
        <v>29.4</v>
      </c>
    </row>
    <row r="57" spans="3:12" x14ac:dyDescent="0.5">
      <c r="C57">
        <v>6.3</v>
      </c>
      <c r="D57">
        <v>20.67</v>
      </c>
      <c r="E57">
        <v>25.87</v>
      </c>
      <c r="F57">
        <v>24.97</v>
      </c>
      <c r="G57">
        <v>25.52</v>
      </c>
      <c r="H57">
        <v>18.27</v>
      </c>
      <c r="I57">
        <v>21.98</v>
      </c>
      <c r="J57">
        <v>24.48</v>
      </c>
      <c r="K57">
        <v>29.42</v>
      </c>
      <c r="L57">
        <v>30.84</v>
      </c>
    </row>
    <row r="58" spans="3:12" x14ac:dyDescent="0.5">
      <c r="C58">
        <v>8.98</v>
      </c>
      <c r="D58">
        <v>21.67</v>
      </c>
      <c r="E58">
        <v>25.82</v>
      </c>
      <c r="F58">
        <v>24.89</v>
      </c>
      <c r="G58">
        <v>25.66</v>
      </c>
      <c r="H58">
        <v>18.190000000000001</v>
      </c>
      <c r="I58">
        <v>23.79</v>
      </c>
      <c r="J58">
        <v>26.75</v>
      </c>
      <c r="K58">
        <v>29.71</v>
      </c>
      <c r="L58">
        <v>31.97</v>
      </c>
    </row>
    <row r="59" spans="3:12" x14ac:dyDescent="0.5">
      <c r="C59">
        <v>9.16</v>
      </c>
      <c r="D59">
        <v>21.29</v>
      </c>
      <c r="E59">
        <v>25.91</v>
      </c>
      <c r="F59">
        <v>24.6</v>
      </c>
      <c r="H59">
        <v>18.18</v>
      </c>
      <c r="I59">
        <v>22.31</v>
      </c>
      <c r="J59">
        <v>25.67</v>
      </c>
      <c r="K59">
        <v>28.33</v>
      </c>
      <c r="L59">
        <v>30.29</v>
      </c>
    </row>
    <row r="60" spans="3:12" x14ac:dyDescent="0.5">
      <c r="C60">
        <v>10.34</v>
      </c>
      <c r="D60">
        <v>20.83</v>
      </c>
      <c r="E60">
        <v>26.3</v>
      </c>
      <c r="F60">
        <v>24.85</v>
      </c>
    </row>
    <row r="61" spans="3:12" x14ac:dyDescent="0.5">
      <c r="C61">
        <v>12.05</v>
      </c>
    </row>
    <row r="63" spans="3:12" x14ac:dyDescent="0.5">
      <c r="C63">
        <f>AVERAGE(C49:C61)</f>
        <v>9.014615384615384</v>
      </c>
      <c r="D63">
        <f t="shared" ref="D63:L63" si="20">AVERAGE(D49:D61)</f>
        <v>21.0275</v>
      </c>
      <c r="E63">
        <f t="shared" si="20"/>
        <v>25.843333333333337</v>
      </c>
      <c r="F63">
        <f t="shared" si="20"/>
        <v>25.640833333333337</v>
      </c>
      <c r="G63">
        <f t="shared" si="20"/>
        <v>25.880000000000003</v>
      </c>
      <c r="H63">
        <f>AVERAGE(H49:H59)</f>
        <v>17.544545454545457</v>
      </c>
      <c r="I63">
        <f t="shared" si="20"/>
        <v>20.849090909090908</v>
      </c>
      <c r="J63">
        <f t="shared" si="20"/>
        <v>25.314545454545453</v>
      </c>
      <c r="K63">
        <f t="shared" si="20"/>
        <v>29.45545454545454</v>
      </c>
      <c r="L63">
        <f t="shared" si="20"/>
        <v>30.716363636363642</v>
      </c>
    </row>
    <row r="64" spans="3:12" x14ac:dyDescent="0.5">
      <c r="C64">
        <f>C63</f>
        <v>9.014615384615384</v>
      </c>
      <c r="D64">
        <f t="shared" ref="D64:G64" si="21">D63</f>
        <v>21.0275</v>
      </c>
      <c r="E64">
        <f t="shared" si="21"/>
        <v>25.843333333333337</v>
      </c>
      <c r="F64">
        <f t="shared" si="21"/>
        <v>25.640833333333337</v>
      </c>
      <c r="G64">
        <f t="shared" si="21"/>
        <v>25.880000000000003</v>
      </c>
      <c r="H64">
        <f>H63+8</f>
        <v>25.544545454545457</v>
      </c>
      <c r="I64">
        <f t="shared" ref="I64:L64" si="22">I63+8</f>
        <v>28.849090909090908</v>
      </c>
      <c r="J64">
        <f t="shared" si="22"/>
        <v>33.314545454545453</v>
      </c>
      <c r="K64">
        <f t="shared" si="22"/>
        <v>37.455454545454543</v>
      </c>
      <c r="L64">
        <f t="shared" si="22"/>
        <v>38.716363636363639</v>
      </c>
    </row>
    <row r="65" spans="2:12" x14ac:dyDescent="0.5">
      <c r="C65">
        <f>_xlfn.STDEV.P(C49:C61)</f>
        <v>2.5303530169785708</v>
      </c>
      <c r="D65">
        <f t="shared" ref="D65:L65" si="23">_xlfn.STDEV.P(D49:D61)</f>
        <v>1.4525387258176627</v>
      </c>
      <c r="E65">
        <f t="shared" si="23"/>
        <v>0.86007105649604487</v>
      </c>
      <c r="F65">
        <f t="shared" si="23"/>
        <v>0.88770733102501498</v>
      </c>
      <c r="G65">
        <f t="shared" si="23"/>
        <v>0.63568860301251273</v>
      </c>
      <c r="H65">
        <f>_xlfn.STDEV.P(H49:H59)</f>
        <v>0.4895334260360692</v>
      </c>
      <c r="I65">
        <f t="shared" si="23"/>
        <v>1.772196657184393</v>
      </c>
      <c r="J65">
        <f t="shared" si="23"/>
        <v>0.95011352083808331</v>
      </c>
      <c r="K65">
        <f t="shared" si="23"/>
        <v>1.5934774074124445</v>
      </c>
      <c r="L65">
        <f t="shared" si="23"/>
        <v>1.0549129453722947</v>
      </c>
    </row>
    <row r="67" spans="2:12" x14ac:dyDescent="0.5">
      <c r="B67" s="5" t="s">
        <v>6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x14ac:dyDescent="0.5">
      <c r="B68" t="s">
        <v>1</v>
      </c>
      <c r="C68">
        <v>74</v>
      </c>
      <c r="D68">
        <v>69</v>
      </c>
      <c r="E68">
        <v>62</v>
      </c>
      <c r="F68">
        <v>57</v>
      </c>
      <c r="G68">
        <v>53</v>
      </c>
      <c r="H68">
        <v>50</v>
      </c>
      <c r="I68">
        <v>47</v>
      </c>
      <c r="J68">
        <v>45</v>
      </c>
      <c r="K68">
        <v>43</v>
      </c>
      <c r="L68">
        <v>41</v>
      </c>
    </row>
    <row r="69" spans="2:12" x14ac:dyDescent="0.5">
      <c r="B69" t="s">
        <v>2</v>
      </c>
      <c r="C69">
        <v>73</v>
      </c>
      <c r="D69">
        <v>120</v>
      </c>
      <c r="E69">
        <v>164</v>
      </c>
      <c r="F69">
        <v>256</v>
      </c>
      <c r="G69">
        <v>353</v>
      </c>
      <c r="H69">
        <v>427</v>
      </c>
      <c r="I69">
        <v>522</v>
      </c>
      <c r="J69">
        <v>586</v>
      </c>
      <c r="K69">
        <v>638</v>
      </c>
      <c r="L69">
        <v>705</v>
      </c>
    </row>
    <row r="70" spans="2:12" x14ac:dyDescent="0.5">
      <c r="B70" t="s">
        <v>3</v>
      </c>
      <c r="C70">
        <v>3</v>
      </c>
      <c r="D70">
        <v>4</v>
      </c>
      <c r="E70">
        <v>6</v>
      </c>
      <c r="F70">
        <v>8</v>
      </c>
      <c r="G70">
        <v>10</v>
      </c>
      <c r="H70">
        <v>12</v>
      </c>
      <c r="I70">
        <v>14</v>
      </c>
      <c r="J70">
        <v>16</v>
      </c>
      <c r="K70">
        <v>18</v>
      </c>
      <c r="L70">
        <v>20</v>
      </c>
    </row>
    <row r="71" spans="2:12" x14ac:dyDescent="0.5">
      <c r="C71">
        <v>17.04</v>
      </c>
      <c r="D71">
        <v>24.95</v>
      </c>
      <c r="E71">
        <v>28.01</v>
      </c>
      <c r="F71">
        <v>27.19</v>
      </c>
      <c r="G71">
        <v>26.06</v>
      </c>
      <c r="H71">
        <v>19.16</v>
      </c>
      <c r="I71">
        <v>21.41</v>
      </c>
      <c r="J71">
        <v>25.3</v>
      </c>
      <c r="K71">
        <v>30.52</v>
      </c>
      <c r="L71">
        <v>35.43</v>
      </c>
    </row>
    <row r="72" spans="2:12" x14ac:dyDescent="0.5">
      <c r="C72">
        <v>13.5</v>
      </c>
      <c r="D72">
        <v>22.23</v>
      </c>
      <c r="E72">
        <v>26.26</v>
      </c>
      <c r="F72">
        <v>26.11</v>
      </c>
      <c r="G72">
        <v>25.84</v>
      </c>
      <c r="H72">
        <v>18.37</v>
      </c>
      <c r="I72">
        <v>19.41</v>
      </c>
      <c r="J72">
        <v>23.87</v>
      </c>
      <c r="K72">
        <v>28.33</v>
      </c>
      <c r="L72">
        <v>29.3</v>
      </c>
    </row>
    <row r="73" spans="2:12" x14ac:dyDescent="0.5">
      <c r="C73">
        <v>14.58</v>
      </c>
      <c r="D73">
        <v>22.53</v>
      </c>
      <c r="E73">
        <v>25.16</v>
      </c>
      <c r="F73">
        <v>24.6</v>
      </c>
      <c r="G73">
        <v>25.53</v>
      </c>
      <c r="H73">
        <v>18.260000000000002</v>
      </c>
      <c r="I73">
        <v>19.71</v>
      </c>
      <c r="J73">
        <v>25.2</v>
      </c>
      <c r="K73">
        <v>27.59</v>
      </c>
      <c r="L73">
        <v>31.32</v>
      </c>
    </row>
    <row r="74" spans="2:12" x14ac:dyDescent="0.5">
      <c r="C74">
        <v>12.06</v>
      </c>
      <c r="D74">
        <v>22.57</v>
      </c>
      <c r="E74">
        <v>27.28</v>
      </c>
      <c r="F74">
        <v>27.02</v>
      </c>
      <c r="G74">
        <v>26.77</v>
      </c>
      <c r="H74">
        <v>17.82</v>
      </c>
      <c r="I74">
        <v>20.46</v>
      </c>
      <c r="J74">
        <v>25.46</v>
      </c>
      <c r="K74">
        <v>30.18</v>
      </c>
      <c r="L74">
        <v>29.82</v>
      </c>
    </row>
    <row r="75" spans="2:12" x14ac:dyDescent="0.5">
      <c r="C75">
        <v>12.55</v>
      </c>
      <c r="D75">
        <v>21.92</v>
      </c>
      <c r="E75">
        <v>28.24</v>
      </c>
      <c r="F75">
        <v>28.37</v>
      </c>
      <c r="G75">
        <v>28.23</v>
      </c>
      <c r="H75">
        <v>18.87</v>
      </c>
      <c r="I75">
        <v>20.81</v>
      </c>
      <c r="J75">
        <v>25.49</v>
      </c>
      <c r="K75">
        <v>28.5</v>
      </c>
      <c r="L75">
        <v>30.92</v>
      </c>
    </row>
    <row r="76" spans="2:12" x14ac:dyDescent="0.5">
      <c r="C76">
        <v>16.38</v>
      </c>
      <c r="D76">
        <v>22.75</v>
      </c>
      <c r="E76">
        <v>26.23</v>
      </c>
      <c r="F76">
        <v>26.67</v>
      </c>
      <c r="G76">
        <v>26.54</v>
      </c>
      <c r="H76">
        <v>17.32</v>
      </c>
      <c r="I76">
        <v>21.7</v>
      </c>
      <c r="J76">
        <v>27.25</v>
      </c>
      <c r="K76">
        <v>28.49</v>
      </c>
      <c r="L76">
        <v>31.9</v>
      </c>
    </row>
    <row r="77" spans="2:12" x14ac:dyDescent="0.5">
      <c r="C77">
        <v>12.21</v>
      </c>
      <c r="D77">
        <v>21.38</v>
      </c>
      <c r="E77">
        <v>25.33</v>
      </c>
      <c r="F77">
        <v>26.08</v>
      </c>
      <c r="G77">
        <v>25.11</v>
      </c>
      <c r="H77">
        <v>16.309999999999999</v>
      </c>
      <c r="I77">
        <v>21.09</v>
      </c>
      <c r="J77">
        <v>24.87</v>
      </c>
      <c r="K77">
        <v>28.11</v>
      </c>
      <c r="L77">
        <v>33.64</v>
      </c>
    </row>
    <row r="78" spans="2:12" x14ac:dyDescent="0.5">
      <c r="C78">
        <v>12.44</v>
      </c>
      <c r="D78">
        <v>22.06</v>
      </c>
      <c r="E78">
        <v>26.34</v>
      </c>
      <c r="F78">
        <v>25.72</v>
      </c>
      <c r="G78">
        <v>24.94</v>
      </c>
      <c r="H78">
        <v>16.579999999999998</v>
      </c>
      <c r="I78">
        <v>19.559999999999999</v>
      </c>
      <c r="J78">
        <v>24.98</v>
      </c>
      <c r="K78">
        <v>26.93</v>
      </c>
      <c r="L78">
        <v>29.95</v>
      </c>
    </row>
    <row r="79" spans="2:12" x14ac:dyDescent="0.5">
      <c r="C79">
        <v>9.91</v>
      </c>
      <c r="D79">
        <v>21.67</v>
      </c>
      <c r="E79">
        <v>25.78</v>
      </c>
      <c r="F79">
        <v>26.03</v>
      </c>
      <c r="G79">
        <v>23.83</v>
      </c>
      <c r="H79">
        <v>18.09</v>
      </c>
      <c r="I79">
        <v>21.95</v>
      </c>
      <c r="J79">
        <v>24.18</v>
      </c>
      <c r="K79">
        <v>27.91</v>
      </c>
      <c r="L79">
        <v>31.26</v>
      </c>
    </row>
    <row r="80" spans="2:12" x14ac:dyDescent="0.5">
      <c r="C80">
        <v>12.04</v>
      </c>
      <c r="D80">
        <v>22.3</v>
      </c>
      <c r="E80">
        <v>27.05</v>
      </c>
      <c r="F80">
        <v>25.43</v>
      </c>
      <c r="G80">
        <v>23.34</v>
      </c>
      <c r="H80">
        <v>18.53</v>
      </c>
      <c r="I80">
        <v>20.399999999999999</v>
      </c>
      <c r="J80">
        <v>23.53</v>
      </c>
      <c r="K80">
        <v>27.32</v>
      </c>
      <c r="L80">
        <v>31.27</v>
      </c>
    </row>
    <row r="81" spans="2:12" x14ac:dyDescent="0.5">
      <c r="C81">
        <v>12.97</v>
      </c>
      <c r="D81">
        <v>22.1</v>
      </c>
      <c r="E81">
        <v>27.34</v>
      </c>
      <c r="F81">
        <v>26.24</v>
      </c>
      <c r="G81">
        <v>24.93</v>
      </c>
      <c r="H81">
        <v>17.62</v>
      </c>
      <c r="I81">
        <v>20.2</v>
      </c>
      <c r="J81">
        <v>24.34</v>
      </c>
      <c r="K81">
        <v>28.41</v>
      </c>
      <c r="L81">
        <v>30.28</v>
      </c>
    </row>
    <row r="82" spans="2:12" x14ac:dyDescent="0.5">
      <c r="L82">
        <v>30.23</v>
      </c>
    </row>
    <row r="84" spans="2:12" x14ac:dyDescent="0.5">
      <c r="C84">
        <f t="shared" ref="C84:J84" si="24">AVERAGE(C71:C81)</f>
        <v>13.243636363636362</v>
      </c>
      <c r="D84">
        <f t="shared" si="24"/>
        <v>22.405454545454546</v>
      </c>
      <c r="E84">
        <f t="shared" si="24"/>
        <v>26.638181818181817</v>
      </c>
      <c r="F84">
        <f t="shared" si="24"/>
        <v>26.314545454545453</v>
      </c>
      <c r="G84">
        <f t="shared" si="24"/>
        <v>25.556363636363631</v>
      </c>
      <c r="H84">
        <f t="shared" si="24"/>
        <v>17.902727272727272</v>
      </c>
      <c r="I84">
        <f t="shared" si="24"/>
        <v>20.609090909090909</v>
      </c>
      <c r="J84">
        <f t="shared" si="24"/>
        <v>24.951818181818179</v>
      </c>
      <c r="K84">
        <f t="shared" ref="K84:L84" si="25">AVERAGE(K71:K82)</f>
        <v>28.390000000000008</v>
      </c>
      <c r="L84">
        <f t="shared" si="25"/>
        <v>31.276666666666671</v>
      </c>
    </row>
    <row r="85" spans="2:12" x14ac:dyDescent="0.5">
      <c r="C85">
        <f>C84</f>
        <v>13.243636363636362</v>
      </c>
      <c r="D85">
        <f t="shared" ref="D85:G85" si="26">D84</f>
        <v>22.405454545454546</v>
      </c>
      <c r="E85">
        <f t="shared" si="26"/>
        <v>26.638181818181817</v>
      </c>
      <c r="F85">
        <f t="shared" si="26"/>
        <v>26.314545454545453</v>
      </c>
      <c r="G85">
        <f t="shared" si="26"/>
        <v>25.556363636363631</v>
      </c>
      <c r="H85">
        <f>H84+8</f>
        <v>25.902727272727272</v>
      </c>
      <c r="I85">
        <f t="shared" ref="I85:L85" si="27">I84+8</f>
        <v>28.609090909090909</v>
      </c>
      <c r="J85">
        <f t="shared" si="27"/>
        <v>32.951818181818183</v>
      </c>
      <c r="K85">
        <f t="shared" si="27"/>
        <v>36.390000000000008</v>
      </c>
      <c r="L85">
        <f t="shared" si="27"/>
        <v>39.276666666666671</v>
      </c>
    </row>
    <row r="86" spans="2:12" x14ac:dyDescent="0.5">
      <c r="C86">
        <f t="shared" ref="C86:J86" si="28">_xlfn.STDEV.P(C71:C81)</f>
        <v>1.9617676293090918</v>
      </c>
      <c r="D86">
        <f t="shared" si="28"/>
        <v>0.89028456774800235</v>
      </c>
      <c r="E86">
        <f t="shared" si="28"/>
        <v>0.97947869420253064</v>
      </c>
      <c r="F86">
        <f t="shared" si="28"/>
        <v>0.94744981768154557</v>
      </c>
      <c r="G86">
        <f t="shared" si="28"/>
        <v>1.3068927251466826</v>
      </c>
      <c r="H86">
        <f t="shared" si="28"/>
        <v>0.85299569336108794</v>
      </c>
      <c r="I86">
        <f t="shared" si="28"/>
        <v>0.82469227919988475</v>
      </c>
      <c r="J86">
        <f t="shared" si="28"/>
        <v>0.96208880880771996</v>
      </c>
      <c r="K86">
        <f t="shared" ref="K86:L86" si="29">_xlfn.STDEV.P(K71:K82)</f>
        <v>1.0441351358029196</v>
      </c>
      <c r="L86">
        <f t="shared" si="29"/>
        <v>1.6641180513680178</v>
      </c>
    </row>
    <row r="88" spans="2:12" x14ac:dyDescent="0.5">
      <c r="B88" s="5" t="s">
        <v>7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2:12" x14ac:dyDescent="0.5">
      <c r="B89" t="s">
        <v>1</v>
      </c>
      <c r="C89">
        <v>74</v>
      </c>
      <c r="D89">
        <v>69</v>
      </c>
      <c r="E89">
        <v>62</v>
      </c>
      <c r="F89">
        <v>57</v>
      </c>
      <c r="G89">
        <v>53</v>
      </c>
      <c r="H89">
        <v>50</v>
      </c>
      <c r="I89">
        <v>47</v>
      </c>
      <c r="J89">
        <v>45</v>
      </c>
      <c r="K89">
        <v>43</v>
      </c>
      <c r="L89">
        <v>41</v>
      </c>
    </row>
    <row r="90" spans="2:12" x14ac:dyDescent="0.5">
      <c r="B90" t="s">
        <v>2</v>
      </c>
      <c r="C90">
        <v>73</v>
      </c>
      <c r="D90">
        <v>120</v>
      </c>
      <c r="E90">
        <v>164</v>
      </c>
      <c r="F90">
        <v>256</v>
      </c>
      <c r="G90">
        <v>353</v>
      </c>
      <c r="H90">
        <v>427</v>
      </c>
      <c r="I90">
        <v>522</v>
      </c>
      <c r="J90">
        <v>586</v>
      </c>
      <c r="K90">
        <v>638</v>
      </c>
      <c r="L90">
        <v>705</v>
      </c>
    </row>
    <row r="91" spans="2:12" x14ac:dyDescent="0.5">
      <c r="B91" t="s">
        <v>3</v>
      </c>
      <c r="C91">
        <v>3</v>
      </c>
      <c r="D91">
        <v>4</v>
      </c>
      <c r="E91">
        <v>6</v>
      </c>
      <c r="F91">
        <v>8</v>
      </c>
      <c r="G91">
        <v>10</v>
      </c>
      <c r="H91">
        <v>12</v>
      </c>
      <c r="I91">
        <v>14</v>
      </c>
      <c r="J91">
        <v>16</v>
      </c>
      <c r="K91">
        <v>18</v>
      </c>
      <c r="L91">
        <v>20</v>
      </c>
    </row>
    <row r="92" spans="2:12" x14ac:dyDescent="0.5">
      <c r="C92">
        <v>17.54</v>
      </c>
      <c r="D92">
        <v>18.45</v>
      </c>
      <c r="E92">
        <v>23.86</v>
      </c>
      <c r="F92">
        <v>23.27</v>
      </c>
      <c r="G92">
        <v>26.42</v>
      </c>
      <c r="H92">
        <v>16.36</v>
      </c>
      <c r="I92">
        <v>21.43</v>
      </c>
      <c r="J92">
        <v>24.98</v>
      </c>
      <c r="K92">
        <v>31.55</v>
      </c>
      <c r="L92">
        <v>28.83</v>
      </c>
    </row>
    <row r="93" spans="2:12" x14ac:dyDescent="0.5">
      <c r="C93">
        <v>13.85</v>
      </c>
      <c r="D93">
        <v>16.86</v>
      </c>
      <c r="E93">
        <v>22.54</v>
      </c>
      <c r="F93">
        <v>21.92</v>
      </c>
      <c r="G93">
        <v>24.86</v>
      </c>
      <c r="H93">
        <v>14.52</v>
      </c>
      <c r="I93">
        <v>18.84</v>
      </c>
      <c r="J93">
        <v>23.99</v>
      </c>
      <c r="K93">
        <v>27.63</v>
      </c>
      <c r="L93">
        <v>26.1</v>
      </c>
    </row>
    <row r="94" spans="2:12" x14ac:dyDescent="0.5">
      <c r="C94">
        <v>8.5399999999999991</v>
      </c>
      <c r="D94">
        <v>17.239999999999998</v>
      </c>
      <c r="E94">
        <v>22.67</v>
      </c>
      <c r="F94">
        <v>22.33</v>
      </c>
      <c r="G94">
        <v>22.72</v>
      </c>
      <c r="H94">
        <v>15.22</v>
      </c>
      <c r="I94">
        <v>15.25</v>
      </c>
      <c r="J94">
        <v>20.329999999999998</v>
      </c>
      <c r="K94">
        <v>26.31</v>
      </c>
      <c r="L94">
        <v>25.7</v>
      </c>
    </row>
    <row r="95" spans="2:12" x14ac:dyDescent="0.5">
      <c r="C95">
        <v>6.73</v>
      </c>
      <c r="D95">
        <v>17.149999999999999</v>
      </c>
      <c r="E95">
        <v>24.64</v>
      </c>
      <c r="F95">
        <v>22.09</v>
      </c>
      <c r="G95">
        <v>25.36</v>
      </c>
      <c r="H95">
        <v>14.37</v>
      </c>
      <c r="I95">
        <v>18.07</v>
      </c>
      <c r="J95">
        <v>17.489999999999998</v>
      </c>
      <c r="K95">
        <v>22.73</v>
      </c>
      <c r="L95">
        <v>26.3</v>
      </c>
    </row>
    <row r="96" spans="2:12" x14ac:dyDescent="0.5">
      <c r="C96">
        <v>5.73</v>
      </c>
      <c r="D96">
        <v>16.2</v>
      </c>
      <c r="E96">
        <v>25.6</v>
      </c>
      <c r="F96">
        <v>22.24</v>
      </c>
      <c r="G96">
        <v>24.45</v>
      </c>
      <c r="H96">
        <v>13.55</v>
      </c>
      <c r="I96">
        <v>19.61</v>
      </c>
      <c r="J96">
        <v>24.21</v>
      </c>
      <c r="K96">
        <v>28.29</v>
      </c>
      <c r="L96">
        <v>30.87</v>
      </c>
    </row>
    <row r="97" spans="3:12" x14ac:dyDescent="0.5">
      <c r="C97">
        <v>10.56</v>
      </c>
      <c r="D97">
        <v>23.88</v>
      </c>
      <c r="E97">
        <v>26.88</v>
      </c>
      <c r="F97">
        <v>22.23</v>
      </c>
      <c r="G97">
        <v>25.93</v>
      </c>
      <c r="H97">
        <v>23.02</v>
      </c>
      <c r="I97">
        <v>19.34</v>
      </c>
      <c r="J97">
        <v>27.56</v>
      </c>
      <c r="K97">
        <v>22.75</v>
      </c>
      <c r="L97">
        <v>29.89</v>
      </c>
    </row>
    <row r="98" spans="3:12" x14ac:dyDescent="0.5">
      <c r="C98">
        <v>15.34</v>
      </c>
      <c r="D98">
        <v>22.88</v>
      </c>
      <c r="E98">
        <v>25.86</v>
      </c>
      <c r="F98">
        <v>26.23</v>
      </c>
      <c r="G98">
        <v>24.72</v>
      </c>
      <c r="H98">
        <v>17.45</v>
      </c>
      <c r="I98">
        <v>21.31</v>
      </c>
      <c r="J98">
        <v>26.94</v>
      </c>
      <c r="K98">
        <v>32.49</v>
      </c>
      <c r="L98">
        <v>33.46</v>
      </c>
    </row>
    <row r="99" spans="3:12" x14ac:dyDescent="0.5">
      <c r="C99">
        <v>14.46</v>
      </c>
      <c r="D99">
        <v>22.08</v>
      </c>
      <c r="E99">
        <v>25.58</v>
      </c>
      <c r="F99">
        <v>25.17</v>
      </c>
      <c r="G99">
        <v>24.8</v>
      </c>
      <c r="H99">
        <v>16.16</v>
      </c>
      <c r="I99">
        <v>20.75</v>
      </c>
      <c r="J99">
        <v>26.3</v>
      </c>
      <c r="K99">
        <v>29.16</v>
      </c>
      <c r="L99">
        <v>31.52</v>
      </c>
    </row>
    <row r="100" spans="3:12" x14ac:dyDescent="0.5">
      <c r="C100">
        <v>12.55</v>
      </c>
      <c r="D100">
        <v>21.84</v>
      </c>
      <c r="E100">
        <v>25.76</v>
      </c>
      <c r="F100">
        <v>25.14</v>
      </c>
      <c r="G100">
        <v>24.57</v>
      </c>
      <c r="H100">
        <v>16.48</v>
      </c>
      <c r="I100">
        <v>18.88</v>
      </c>
      <c r="J100">
        <v>25.57</v>
      </c>
      <c r="K100">
        <v>29.4</v>
      </c>
      <c r="L100">
        <v>31.28</v>
      </c>
    </row>
    <row r="101" spans="3:12" x14ac:dyDescent="0.5">
      <c r="C101">
        <v>13.03</v>
      </c>
      <c r="D101">
        <v>21.57</v>
      </c>
      <c r="E101">
        <v>26.31</v>
      </c>
      <c r="F101">
        <v>25.1</v>
      </c>
      <c r="G101">
        <v>24.57</v>
      </c>
      <c r="H101">
        <v>16.489999999999998</v>
      </c>
      <c r="I101">
        <v>19.39</v>
      </c>
      <c r="J101">
        <v>25.28</v>
      </c>
      <c r="K101">
        <v>28.93</v>
      </c>
      <c r="L101">
        <v>31.26</v>
      </c>
    </row>
    <row r="102" spans="3:12" x14ac:dyDescent="0.5">
      <c r="C102">
        <v>14.61</v>
      </c>
      <c r="D102">
        <v>21.53</v>
      </c>
      <c r="E102">
        <v>26.13</v>
      </c>
      <c r="F102">
        <v>24.77</v>
      </c>
      <c r="G102">
        <v>24.82</v>
      </c>
      <c r="H102">
        <v>16.64</v>
      </c>
      <c r="I102">
        <v>18.95</v>
      </c>
      <c r="J102">
        <v>25.29</v>
      </c>
      <c r="K102">
        <v>28</v>
      </c>
      <c r="L102">
        <v>33.03</v>
      </c>
    </row>
    <row r="103" spans="3:12" x14ac:dyDescent="0.5">
      <c r="C103">
        <v>15.29</v>
      </c>
      <c r="F103">
        <v>24.92</v>
      </c>
      <c r="H103">
        <v>16.28</v>
      </c>
      <c r="I103">
        <v>20.68</v>
      </c>
      <c r="J103">
        <v>25.26</v>
      </c>
      <c r="K103">
        <v>29.35</v>
      </c>
      <c r="L103">
        <v>31.22</v>
      </c>
    </row>
    <row r="105" spans="3:12" x14ac:dyDescent="0.5">
      <c r="C105">
        <f>AVERAGE(C92:C102)</f>
        <v>12.085454545454546</v>
      </c>
      <c r="D105">
        <f>AVERAGE(D92:D101)</f>
        <v>19.815000000000001</v>
      </c>
      <c r="E105">
        <f>AVERAGE(E92:E102)</f>
        <v>25.075454545454544</v>
      </c>
      <c r="F105">
        <f t="shared" ref="F105:L105" si="30">AVERAGE(F92:F103)</f>
        <v>23.784166666666664</v>
      </c>
      <c r="G105">
        <f>AVERAGE(G92:G102)</f>
        <v>24.83818181818182</v>
      </c>
      <c r="H105">
        <f t="shared" si="30"/>
        <v>16.378333333333334</v>
      </c>
      <c r="I105">
        <f>AVERAGE(I92:I102)</f>
        <v>19.256363636363634</v>
      </c>
      <c r="J105">
        <f t="shared" si="30"/>
        <v>24.433333333333334</v>
      </c>
      <c r="K105">
        <f t="shared" si="30"/>
        <v>28.049166666666668</v>
      </c>
      <c r="L105">
        <f t="shared" si="30"/>
        <v>29.955000000000002</v>
      </c>
    </row>
    <row r="106" spans="3:12" x14ac:dyDescent="0.5">
      <c r="C106">
        <f>C105</f>
        <v>12.085454545454546</v>
      </c>
      <c r="D106">
        <f t="shared" ref="D106:G106" si="31">D105</f>
        <v>19.815000000000001</v>
      </c>
      <c r="E106">
        <f t="shared" si="31"/>
        <v>25.075454545454544</v>
      </c>
      <c r="F106">
        <f t="shared" si="31"/>
        <v>23.784166666666664</v>
      </c>
      <c r="G106">
        <f t="shared" si="31"/>
        <v>24.83818181818182</v>
      </c>
      <c r="H106">
        <f>H105+8</f>
        <v>24.378333333333334</v>
      </c>
      <c r="I106">
        <f t="shared" ref="I106:L106" si="32">I105+8</f>
        <v>27.256363636363634</v>
      </c>
      <c r="J106">
        <f t="shared" si="32"/>
        <v>32.433333333333337</v>
      </c>
      <c r="K106">
        <f t="shared" si="32"/>
        <v>36.049166666666665</v>
      </c>
      <c r="L106">
        <f t="shared" si="32"/>
        <v>37.954999999999998</v>
      </c>
    </row>
    <row r="107" spans="3:12" x14ac:dyDescent="0.5">
      <c r="C107">
        <f>_xlfn.STDEV.P(C92:C102)</f>
        <v>3.5744989824039126</v>
      </c>
      <c r="D107">
        <f>_xlfn.STDEV.P(D92:D101)</f>
        <v>2.7500118181564162</v>
      </c>
      <c r="E107">
        <f>_xlfn.STDEV.P(E92:E102)</f>
        <v>1.3944067727653517</v>
      </c>
      <c r="F107">
        <f t="shared" ref="F107:L107" si="33">_xlfn.STDEV.P(F92:F103)</f>
        <v>1.5071632201663574</v>
      </c>
      <c r="G107">
        <f>_xlfn.STDEV.P(G92:G102)</f>
        <v>0.89259395412592257</v>
      </c>
      <c r="H107">
        <f t="shared" si="33"/>
        <v>2.2773736091286252</v>
      </c>
      <c r="I107">
        <f>_xlfn.STDEV.P(I92:I102)</f>
        <v>1.6290056795886967</v>
      </c>
      <c r="J107">
        <f t="shared" si="33"/>
        <v>2.716653374200622</v>
      </c>
      <c r="K107">
        <f t="shared" si="33"/>
        <v>2.8451580457955843</v>
      </c>
      <c r="L107">
        <f t="shared" si="33"/>
        <v>2.5442893572338301</v>
      </c>
    </row>
  </sheetData>
  <mergeCells count="5">
    <mergeCell ref="B1:L1"/>
    <mergeCell ref="B23:L23"/>
    <mergeCell ref="B45:L45"/>
    <mergeCell ref="B67:L67"/>
    <mergeCell ref="B88:L8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8E9135-680E-4D57-BFA6-EBC1D9DC1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High</vt:lpstr>
      <vt:lpstr>Med</vt:lpstr>
      <vt:lpstr>Low</vt:lpstr>
      <vt:lpstr>CEUS2</vt:lpstr>
      <vt:lpstr>Summary</vt:lpstr>
      <vt:lpstr>CEUS</vt:lpstr>
      <vt:lpstr>High (2)</vt:lpstr>
      <vt:lpstr>Lookup Tables</vt:lpstr>
      <vt:lpstr>20251208_4e3</vt:lpstr>
      <vt:lpstr>Low 2</vt:lpstr>
      <vt:lpstr>Summary (2)</vt:lpstr>
      <vt:lpstr>High Combined</vt:lpstr>
      <vt:lpstr>Med 2</vt:lpstr>
      <vt:lpstr>Medium Combined</vt:lpstr>
      <vt:lpstr>Low 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Michaelis</dc:creator>
  <cp:lastModifiedBy>Mark Michaelis</cp:lastModifiedBy>
  <dcterms:created xsi:type="dcterms:W3CDTF">2025-12-05T02:02:58Z</dcterms:created>
  <dcterms:modified xsi:type="dcterms:W3CDTF">2026-02-22T07:18:00Z</dcterms:modified>
</cp:coreProperties>
</file>